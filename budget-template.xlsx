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xpshenya/Library/CloudStorage/GoogleDrive-data@armabudproject.com/Мой диск/TOP CFO/"/>
    </mc:Choice>
  </mc:AlternateContent>
  <xr:revisionPtr revIDLastSave="0" documentId="8_{BAACF78C-E83A-F446-8992-472ECC1E7CD5}" xr6:coauthVersionLast="47" xr6:coauthVersionMax="47" xr10:uidLastSave="{00000000-0000-0000-0000-000000000000}"/>
  <bookViews>
    <workbookView xWindow="1080" yWindow="1600" windowWidth="27440" windowHeight="15220" xr2:uid="{AA739F5A-19AA-9746-9015-DFE48CE6A08B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9" i="1" l="1"/>
  <c r="B43" i="1"/>
  <c r="B38" i="1" s="1"/>
  <c r="B25" i="1"/>
  <c r="B10" i="1"/>
  <c r="B4" i="1"/>
  <c r="B15" i="1" l="1"/>
  <c r="B34" i="1" s="1"/>
  <c r="B3" i="1"/>
  <c r="B45" i="1" l="1"/>
  <c r="B35" i="1"/>
  <c r="B61" i="1" l="1"/>
  <c r="B62" i="1" s="1"/>
  <c r="B63" i="1" s="1"/>
  <c r="B46" i="1"/>
  <c r="B36" i="1" l="1"/>
  <c r="B47" i="1"/>
</calcChain>
</file>

<file path=xl/sharedStrings.xml><?xml version="1.0" encoding="utf-8"?>
<sst xmlns="http://schemas.openxmlformats.org/spreadsheetml/2006/main" count="57" uniqueCount="57">
  <si>
    <t>Виконані і закриті актами роботи</t>
  </si>
  <si>
    <t xml:space="preserve">Колос буд.4  </t>
  </si>
  <si>
    <t>выполнено</t>
  </si>
  <si>
    <t>ДОХІД:</t>
  </si>
  <si>
    <t>Загальна вартість закритих робіт</t>
  </si>
  <si>
    <t>ЗАКРИТО АКТАМИ</t>
  </si>
  <si>
    <t>Роботи</t>
  </si>
  <si>
    <t>Материали</t>
  </si>
  <si>
    <t>інші витрати</t>
  </si>
  <si>
    <t>ВИТРАТИ:</t>
  </si>
  <si>
    <t>Прямые переменные расходы:</t>
  </si>
  <si>
    <t>матеріали</t>
  </si>
  <si>
    <t>ЗАРОБІТНЯ ПЛАТА (робочі)</t>
  </si>
  <si>
    <t>ІТП</t>
  </si>
  <si>
    <t>Прямые переменно-постоянные расходы:</t>
  </si>
  <si>
    <t>розхідні матеріали</t>
  </si>
  <si>
    <t>інструмент</t>
  </si>
  <si>
    <t>Монтаж люльки</t>
  </si>
  <si>
    <t>аренда спецтехніки (крани, трактор,погрузчик)</t>
  </si>
  <si>
    <t>прямі транспортні витрати (перевоз люлек)</t>
  </si>
  <si>
    <t>розгрузка/погрузка</t>
  </si>
  <si>
    <t>вивіз сміття</t>
  </si>
  <si>
    <t>облаштування майданчика(склади...)</t>
  </si>
  <si>
    <t>аренда битовок господарських, МТК</t>
  </si>
  <si>
    <t>Різноробочий</t>
  </si>
  <si>
    <t>технагляд/проект</t>
  </si>
  <si>
    <t>оренда /ремонт люльки</t>
  </si>
  <si>
    <t>Непередбачувані витрати</t>
  </si>
  <si>
    <t>Люльки</t>
  </si>
  <si>
    <t>Оренда риштувань, люльок</t>
  </si>
  <si>
    <t>витрати на охорону праці</t>
  </si>
  <si>
    <t>клінінг</t>
  </si>
  <si>
    <t>%</t>
  </si>
  <si>
    <t>Загально :</t>
  </si>
  <si>
    <t>ПРИБУТОК ПО ПРЯМИМ ВИТРАТАМ</t>
  </si>
  <si>
    <t xml:space="preserve">РЕНТАБЕЛЬНІСТЬ  , % </t>
  </si>
  <si>
    <t>Накладные  расходы:</t>
  </si>
  <si>
    <t>бонуси керівникам проекту 10% від ВП</t>
  </si>
  <si>
    <t xml:space="preserve">представницькі послуги </t>
  </si>
  <si>
    <t>дивіденди</t>
  </si>
  <si>
    <t>Комісія 17%</t>
  </si>
  <si>
    <t>Разом собівартість:</t>
  </si>
  <si>
    <t>Маржинальний  прибуток, грн.</t>
  </si>
  <si>
    <t xml:space="preserve">МАРЖИНАЛЬНА РЕНТАБЕЛЬНІСТЬ  , % </t>
  </si>
  <si>
    <t>Непрямі витрати:</t>
  </si>
  <si>
    <t>Постоянная часть ЗП общепроизводственного персонала</t>
  </si>
  <si>
    <t>Постоянная часть ЗП прорабов</t>
  </si>
  <si>
    <t>ГСМ для служебного транспорта (комерческие расходы, тендера)</t>
  </si>
  <si>
    <t>Ремонт оборудования або покупка</t>
  </si>
  <si>
    <t>Расходы на аренду грузового наемного транспорта</t>
  </si>
  <si>
    <t>Техобслуживание и текущий ремонт производственного автотранспорта</t>
  </si>
  <si>
    <t>Приобритение малоценных и быстро изнашивающихся материальных активов 
(Покупка расходников и мелкого инструмента для ремонта)</t>
  </si>
  <si>
    <t>Охрана труда</t>
  </si>
  <si>
    <t>Участие в тендерных закупках</t>
  </si>
  <si>
    <t>РАЗОМ ПОВНА СОБІВАРТІСТЬ:</t>
  </si>
  <si>
    <t>ВАЛОВИЙ ПРИБУТОК</t>
  </si>
  <si>
    <t xml:space="preserve">ВАЛОВА  РЕНТАБЕЛЬНІСТЬ  , %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</si>
</sst>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[Red]\-#,##0\ "/>
  </numFmts>
  <fonts count="14" x14ac:knownFonts="1">
    <font>
      <sz val="12"/>
      <color theme="1"/>
      <name val="Aptos Narrow"/>
      <family val="2"/>
      <charset val="204"/>
      <scheme val="minor"/>
    </font>
    <font>
      <sz val="12"/>
      <color theme="1"/>
      <name val="Aptos Narrow"/>
      <family val="2"/>
      <charset val="204"/>
      <scheme val="minor"/>
    </font>
    <font>
      <sz val="11"/>
      <color theme="1"/>
      <name val="Aptos Narrow"/>
      <family val="2"/>
      <scheme val="minor"/>
    </font>
    <font>
      <b/>
      <sz val="11"/>
      <color rgb="FF800000"/>
      <name val="Aptos Narrow"/>
      <family val="2"/>
      <charset val="204"/>
      <scheme val="minor"/>
    </font>
    <font>
      <u/>
      <sz val="11"/>
      <color theme="1"/>
      <name val="Aptos Narrow"/>
      <family val="2"/>
      <scheme val="minor"/>
    </font>
    <font>
      <b/>
      <sz val="9"/>
      <color rgb="FF800000"/>
      <name val="Aptos Narrow"/>
      <family val="2"/>
      <scheme val="minor"/>
    </font>
    <font>
      <b/>
      <sz val="11"/>
      <color theme="1"/>
      <name val="Aptos Narrow"/>
      <family val="2"/>
      <charset val="204"/>
      <scheme val="minor"/>
    </font>
    <font>
      <i/>
      <sz val="11"/>
      <color theme="1"/>
      <name val="Aptos Narrow"/>
      <family val="2"/>
      <charset val="204"/>
      <scheme val="minor"/>
    </font>
    <font>
      <b/>
      <sz val="11"/>
      <color theme="0" tint="-4.9989318521683403E-2"/>
      <name val="Aptos Narrow"/>
      <family val="2"/>
      <charset val="204"/>
      <scheme val="minor"/>
    </font>
    <font>
      <b/>
      <sz val="11"/>
      <color rgb="FF0000FF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9900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rgb="FFE8D9F3"/>
        <bgColor indexed="64"/>
      </patternFill>
    </fill>
    <fill>
      <patternFill patternType="solid">
        <fgColor rgb="FF482066"/>
        <bgColor indexed="64"/>
      </patternFill>
    </fill>
  </fills>
  <borders count="3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/>
  </cellStyleXfs>
  <cellXfs count="33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5" fillId="3" borderId="1" xfId="2" applyFont="1" applyFill="1" applyBorder="1" applyAlignment="1">
      <alignment horizontal="center" vertical="center" wrapText="1"/>
    </xf>
    <xf numFmtId="0" fontId="6" fillId="4" borderId="1" xfId="2" applyFont="1" applyFill="1" applyBorder="1" applyAlignment="1">
      <alignment horizontal="center" wrapText="1"/>
    </xf>
    <xf numFmtId="0" fontId="6" fillId="0" borderId="1" xfId="2" applyFont="1" applyBorder="1" applyAlignment="1">
      <alignment horizontal="right" wrapText="1"/>
    </xf>
    <xf numFmtId="0" fontId="7" fillId="0" borderId="1" xfId="2" applyFont="1" applyBorder="1" applyAlignment="1">
      <alignment horizontal="right" wrapText="1"/>
    </xf>
    <xf numFmtId="0" fontId="6" fillId="5" borderId="1" xfId="2" applyFont="1" applyFill="1" applyBorder="1"/>
    <xf numFmtId="0" fontId="2" fillId="0" borderId="1" xfId="2" applyBorder="1"/>
    <xf numFmtId="9" fontId="2" fillId="0" borderId="1" xfId="2" applyNumberFormat="1" applyBorder="1"/>
    <xf numFmtId="0" fontId="8" fillId="6" borderId="1" xfId="2" applyFont="1" applyFill="1" applyBorder="1"/>
    <xf numFmtId="0" fontId="9" fillId="7" borderId="1" xfId="2" applyFont="1" applyFill="1" applyBorder="1"/>
    <xf numFmtId="0" fontId="11" fillId="7" borderId="1" xfId="2" applyFont="1" applyFill="1" applyBorder="1" applyAlignment="1">
      <alignment horizontal="left"/>
    </xf>
    <xf numFmtId="10" fontId="2" fillId="0" borderId="1" xfId="2" applyNumberFormat="1" applyBorder="1"/>
    <xf numFmtId="0" fontId="6" fillId="2" borderId="1" xfId="2" applyFont="1" applyFill="1" applyBorder="1"/>
    <xf numFmtId="0" fontId="6" fillId="0" borderId="1" xfId="2" applyFont="1" applyBorder="1"/>
    <xf numFmtId="164" fontId="13" fillId="0" borderId="1" xfId="2" applyNumberFormat="1" applyFont="1" applyBorder="1" applyAlignment="1" applyProtection="1">
      <alignment horizontal="left" vertical="center" wrapText="1"/>
      <protection locked="0"/>
    </xf>
    <xf numFmtId="0" fontId="2" fillId="0" borderId="0" xfId="2"/>
    <xf numFmtId="43" fontId="4" fillId="2" borderId="2" xfId="1" applyFont="1" applyFill="1" applyBorder="1" applyAlignment="1">
      <alignment horizontal="center" vertical="center" wrapText="1"/>
    </xf>
    <xf numFmtId="43" fontId="5" fillId="3" borderId="1" xfId="1" applyFont="1" applyFill="1" applyBorder="1" applyAlignment="1">
      <alignment horizontal="center" vertical="center" wrapText="1"/>
    </xf>
    <xf numFmtId="43" fontId="6" fillId="4" borderId="1" xfId="1" applyFont="1" applyFill="1" applyBorder="1" applyAlignment="1">
      <alignment horizontal="right" wrapText="1"/>
    </xf>
    <xf numFmtId="43" fontId="2" fillId="0" borderId="1" xfId="1" applyFont="1" applyBorder="1" applyAlignment="1">
      <alignment horizontal="right" wrapText="1"/>
    </xf>
    <xf numFmtId="43" fontId="6" fillId="5" borderId="1" xfId="1" applyFont="1" applyFill="1" applyBorder="1" applyAlignment="1">
      <alignment horizontal="right"/>
    </xf>
    <xf numFmtId="43" fontId="2" fillId="0" borderId="1" xfId="1" applyFont="1" applyBorder="1" applyAlignment="1">
      <alignment horizontal="right"/>
    </xf>
    <xf numFmtId="43" fontId="8" fillId="6" borderId="1" xfId="1" applyFont="1" applyFill="1" applyBorder="1" applyAlignment="1">
      <alignment horizontal="right"/>
    </xf>
    <xf numFmtId="43" fontId="10" fillId="8" borderId="1" xfId="1" applyFont="1" applyFill="1" applyBorder="1" applyAlignment="1">
      <alignment horizontal="right"/>
    </xf>
    <xf numFmtId="43" fontId="12" fillId="7" borderId="1" xfId="1" applyFont="1" applyFill="1" applyBorder="1" applyAlignment="1">
      <alignment horizontal="right"/>
    </xf>
    <xf numFmtId="43" fontId="6" fillId="2" borderId="1" xfId="1" applyFont="1" applyFill="1" applyBorder="1" applyAlignment="1">
      <alignment horizontal="right"/>
    </xf>
    <xf numFmtId="43" fontId="6" fillId="0" borderId="1" xfId="1" applyFont="1" applyBorder="1" applyAlignment="1">
      <alignment horizontal="right"/>
    </xf>
    <xf numFmtId="43" fontId="9" fillId="7" borderId="1" xfId="1" applyFont="1" applyFill="1" applyBorder="1" applyAlignment="1">
      <alignment horizontal="right"/>
    </xf>
    <xf numFmtId="43" fontId="11" fillId="7" borderId="1" xfId="1" applyFont="1" applyFill="1" applyBorder="1" applyAlignment="1">
      <alignment horizontal="right"/>
    </xf>
    <xf numFmtId="43" fontId="6" fillId="5" borderId="1" xfId="1" applyFont="1" applyFill="1" applyBorder="1"/>
    <xf numFmtId="43" fontId="2" fillId="0" borderId="0" xfId="1" applyFont="1" applyAlignment="1">
      <alignment horizontal="right"/>
    </xf>
    <xf numFmtId="43" fontId="0" fillId="0" borderId="0" xfId="1" applyFont="1"/>
  </cellXfs>
  <cellStyles count="3">
    <cellStyle name="Обычный" xfId="0" builtinId="0"/>
    <cellStyle name="Обычный 6" xfId="2" xr:uid="{F9D593D4-3031-ED49-BF63-66AA81BC67D7}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48BDA-8AAF-F847-90DA-94411A01924B}">
  <dimension ref="A1:B85"/>
  <sheetViews>
    <sheetView tabSelected="1" topLeftCell="A55" zoomScale="142" workbookViewId="0">
      <selection activeCell="B36" sqref="B36"/>
    </sheetView>
  </sheetViews>
  <sheetFormatPr baseColWidth="10" defaultRowHeight="16" x14ac:dyDescent="0.2"/>
  <cols>
    <col min="1" max="1" width="38.1640625" bestFit="1" customWidth="1"/>
    <col min="2" max="2" width="13.33203125" style="32" bestFit="1" customWidth="1"/>
  </cols>
  <sheetData>
    <row r="1" spans="1:2" ht="32" x14ac:dyDescent="0.2">
      <c r="A1" s="1" t="s">
        <v>0</v>
      </c>
      <c r="B1" s="17" t="s">
        <v>1</v>
      </c>
    </row>
    <row r="2" spans="1:2" x14ac:dyDescent="0.2">
      <c r="A2" s="2"/>
      <c r="B2" s="18" t="s">
        <v>2</v>
      </c>
    </row>
    <row r="3" spans="1:2" x14ac:dyDescent="0.2">
      <c r="A3" s="3" t="s">
        <v>3</v>
      </c>
      <c r="B3" s="19">
        <f>B4</f>
        <v>19531932.507997975</v>
      </c>
    </row>
    <row r="4" spans="1:2" x14ac:dyDescent="0.2">
      <c r="A4" s="4" t="s">
        <v>4</v>
      </c>
      <c r="B4" s="20">
        <f>B6+B7+B8</f>
        <v>19531932.507997975</v>
      </c>
    </row>
    <row r="5" spans="1:2" x14ac:dyDescent="0.2">
      <c r="A5" s="4" t="s">
        <v>5</v>
      </c>
      <c r="B5" s="20"/>
    </row>
    <row r="6" spans="1:2" x14ac:dyDescent="0.2">
      <c r="A6" s="5" t="s">
        <v>6</v>
      </c>
      <c r="B6" s="20">
        <v>8418994.5928199999</v>
      </c>
    </row>
    <row r="7" spans="1:2" x14ac:dyDescent="0.2">
      <c r="A7" s="5" t="s">
        <v>7</v>
      </c>
      <c r="B7" s="20">
        <v>10864811.269393371</v>
      </c>
    </row>
    <row r="8" spans="1:2" x14ac:dyDescent="0.2">
      <c r="A8" s="5" t="s">
        <v>8</v>
      </c>
      <c r="B8" s="20">
        <v>248126.6457846</v>
      </c>
    </row>
    <row r="9" spans="1:2" x14ac:dyDescent="0.2">
      <c r="A9" s="3" t="s">
        <v>9</v>
      </c>
      <c r="B9" s="19"/>
    </row>
    <row r="10" spans="1:2" x14ac:dyDescent="0.2">
      <c r="A10" s="6" t="s">
        <v>10</v>
      </c>
      <c r="B10" s="21">
        <f t="shared" ref="B10" si="0">SUM(B11:B14)</f>
        <v>10493723.237599999</v>
      </c>
    </row>
    <row r="11" spans="1:2" x14ac:dyDescent="0.2">
      <c r="A11" s="7" t="s">
        <v>11</v>
      </c>
      <c r="B11" s="22">
        <v>6761545.4375999998</v>
      </c>
    </row>
    <row r="12" spans="1:2" x14ac:dyDescent="0.2">
      <c r="A12" s="7" t="s">
        <v>12</v>
      </c>
      <c r="B12" s="22">
        <v>3532177.8</v>
      </c>
    </row>
    <row r="13" spans="1:2" x14ac:dyDescent="0.2">
      <c r="A13" s="7" t="s">
        <v>13</v>
      </c>
      <c r="B13" s="22">
        <v>200000</v>
      </c>
    </row>
    <row r="14" spans="1:2" x14ac:dyDescent="0.2">
      <c r="A14" s="8">
        <v>0.12</v>
      </c>
      <c r="B14" s="22"/>
    </row>
    <row r="15" spans="1:2" x14ac:dyDescent="0.2">
      <c r="A15" s="6" t="s">
        <v>14</v>
      </c>
      <c r="B15" s="21">
        <f t="shared" ref="B15" si="1">SUM(B16:B33)</f>
        <v>614000</v>
      </c>
    </row>
    <row r="16" spans="1:2" x14ac:dyDescent="0.2">
      <c r="A16" s="7" t="s">
        <v>15</v>
      </c>
      <c r="B16" s="22">
        <v>200000</v>
      </c>
    </row>
    <row r="17" spans="1:2" x14ac:dyDescent="0.2">
      <c r="A17" s="7" t="s">
        <v>16</v>
      </c>
      <c r="B17" s="22">
        <v>50000</v>
      </c>
    </row>
    <row r="18" spans="1:2" x14ac:dyDescent="0.2">
      <c r="A18" s="7" t="s">
        <v>17</v>
      </c>
      <c r="B18" s="22"/>
    </row>
    <row r="19" spans="1:2" x14ac:dyDescent="0.2">
      <c r="A19" s="7" t="s">
        <v>18</v>
      </c>
      <c r="B19" s="22">
        <v>10000</v>
      </c>
    </row>
    <row r="20" spans="1:2" x14ac:dyDescent="0.2">
      <c r="A20" s="7" t="s">
        <v>19</v>
      </c>
      <c r="B20" s="22"/>
    </row>
    <row r="21" spans="1:2" x14ac:dyDescent="0.2">
      <c r="A21" s="7" t="s">
        <v>20</v>
      </c>
      <c r="B21" s="22">
        <v>25000</v>
      </c>
    </row>
    <row r="22" spans="1:2" x14ac:dyDescent="0.2">
      <c r="A22" s="7" t="s">
        <v>21</v>
      </c>
      <c r="B22" s="22"/>
    </row>
    <row r="23" spans="1:2" x14ac:dyDescent="0.2">
      <c r="A23" s="7" t="s">
        <v>22</v>
      </c>
      <c r="B23" s="22">
        <v>5000</v>
      </c>
    </row>
    <row r="24" spans="1:2" x14ac:dyDescent="0.2">
      <c r="A24" s="7" t="s">
        <v>23</v>
      </c>
      <c r="B24" s="22"/>
    </row>
    <row r="25" spans="1:2" x14ac:dyDescent="0.2">
      <c r="A25" s="7" t="s">
        <v>24</v>
      </c>
      <c r="B25" s="22">
        <f>26*1000*4</f>
        <v>104000</v>
      </c>
    </row>
    <row r="26" spans="1:2" x14ac:dyDescent="0.2">
      <c r="A26" s="7" t="s">
        <v>25</v>
      </c>
      <c r="B26" s="22"/>
    </row>
    <row r="27" spans="1:2" x14ac:dyDescent="0.2">
      <c r="A27" s="7" t="s">
        <v>26</v>
      </c>
      <c r="B27" s="22">
        <v>50000</v>
      </c>
    </row>
    <row r="28" spans="1:2" x14ac:dyDescent="0.2">
      <c r="A28" s="7" t="s">
        <v>27</v>
      </c>
      <c r="B28" s="22">
        <v>70000</v>
      </c>
    </row>
    <row r="29" spans="1:2" x14ac:dyDescent="0.2">
      <c r="A29" s="7" t="s">
        <v>28</v>
      </c>
      <c r="B29" s="22"/>
    </row>
    <row r="30" spans="1:2" x14ac:dyDescent="0.2">
      <c r="A30" s="7" t="s">
        <v>29</v>
      </c>
      <c r="B30" s="22"/>
    </row>
    <row r="31" spans="1:2" x14ac:dyDescent="0.2">
      <c r="A31" s="7" t="s">
        <v>30</v>
      </c>
      <c r="B31" s="22">
        <v>100000</v>
      </c>
    </row>
    <row r="32" spans="1:2" x14ac:dyDescent="0.2">
      <c r="A32" s="7" t="s">
        <v>31</v>
      </c>
      <c r="B32" s="22"/>
    </row>
    <row r="33" spans="1:2" x14ac:dyDescent="0.2">
      <c r="A33" s="7" t="s">
        <v>32</v>
      </c>
      <c r="B33" s="22"/>
    </row>
    <row r="34" spans="1:2" x14ac:dyDescent="0.2">
      <c r="A34" s="9" t="s">
        <v>33</v>
      </c>
      <c r="B34" s="23">
        <f t="shared" ref="B34" si="2">B10+B15</f>
        <v>11107723.237599999</v>
      </c>
    </row>
    <row r="35" spans="1:2" x14ac:dyDescent="0.2">
      <c r="A35" s="10" t="s">
        <v>34</v>
      </c>
      <c r="B35" s="24">
        <f>B4-B34</f>
        <v>8424209.270397976</v>
      </c>
    </row>
    <row r="36" spans="1:2" x14ac:dyDescent="0.2">
      <c r="A36" s="11" t="s">
        <v>35</v>
      </c>
      <c r="B36" s="25">
        <f ca="1">IF(B36,B35/B4*100,0)</f>
        <v>0</v>
      </c>
    </row>
    <row r="37" spans="1:2" x14ac:dyDescent="0.2">
      <c r="A37" s="7"/>
      <c r="B37" s="22"/>
    </row>
    <row r="38" spans="1:2" x14ac:dyDescent="0.2">
      <c r="A38" s="6" t="s">
        <v>36</v>
      </c>
      <c r="B38" s="21">
        <f t="shared" ref="B38" si="3">SUM(B39:B43)</f>
        <v>0</v>
      </c>
    </row>
    <row r="39" spans="1:2" x14ac:dyDescent="0.2">
      <c r="A39" s="7" t="s">
        <v>37</v>
      </c>
      <c r="B39" s="22"/>
    </row>
    <row r="40" spans="1:2" x14ac:dyDescent="0.2">
      <c r="A40" s="7" t="s">
        <v>38</v>
      </c>
      <c r="B40" s="22"/>
    </row>
    <row r="41" spans="1:2" x14ac:dyDescent="0.2">
      <c r="A41" s="7" t="s">
        <v>39</v>
      </c>
      <c r="B41" s="22"/>
    </row>
    <row r="42" spans="1:2" x14ac:dyDescent="0.2">
      <c r="A42" s="12"/>
      <c r="B42" s="22"/>
    </row>
    <row r="43" spans="1:2" x14ac:dyDescent="0.2">
      <c r="A43" s="13" t="s">
        <v>40</v>
      </c>
      <c r="B43" s="26">
        <f>(B40+B39)*0.17/0.83</f>
        <v>0</v>
      </c>
    </row>
    <row r="44" spans="1:2" x14ac:dyDescent="0.2">
      <c r="A44" s="14"/>
      <c r="B44" s="27"/>
    </row>
    <row r="45" spans="1:2" x14ac:dyDescent="0.2">
      <c r="A45" s="9" t="s">
        <v>41</v>
      </c>
      <c r="B45" s="23">
        <f t="shared" ref="B45" si="4">B34+B38</f>
        <v>11107723.237599999</v>
      </c>
    </row>
    <row r="46" spans="1:2" x14ac:dyDescent="0.2">
      <c r="A46" s="10" t="s">
        <v>42</v>
      </c>
      <c r="B46" s="28">
        <f t="shared" ref="B46" si="5">B4-B45</f>
        <v>8424209.270397976</v>
      </c>
    </row>
    <row r="47" spans="1:2" x14ac:dyDescent="0.2">
      <c r="A47" s="11" t="s">
        <v>43</v>
      </c>
      <c r="B47" s="29">
        <f ca="1">IF(B47,B46/B4*100,0)</f>
        <v>0</v>
      </c>
    </row>
    <row r="48" spans="1:2" x14ac:dyDescent="0.2">
      <c r="A48" s="7"/>
      <c r="B48" s="22"/>
    </row>
    <row r="49" spans="1:2" x14ac:dyDescent="0.2">
      <c r="A49" s="6" t="s">
        <v>44</v>
      </c>
      <c r="B49" s="30">
        <f t="shared" ref="B49" si="6">SUM(B50:B60)</f>
        <v>0</v>
      </c>
    </row>
    <row r="50" spans="1:2" ht="32" x14ac:dyDescent="0.2">
      <c r="A50" s="15" t="s">
        <v>45</v>
      </c>
      <c r="B50" s="22"/>
    </row>
    <row r="51" spans="1:2" x14ac:dyDescent="0.2">
      <c r="A51" s="15" t="s">
        <v>46</v>
      </c>
      <c r="B51" s="22"/>
    </row>
    <row r="52" spans="1:2" ht="32" x14ac:dyDescent="0.2">
      <c r="A52" s="15" t="s">
        <v>47</v>
      </c>
      <c r="B52" s="22"/>
    </row>
    <row r="53" spans="1:2" x14ac:dyDescent="0.2">
      <c r="A53" s="15" t="s">
        <v>48</v>
      </c>
      <c r="B53" s="22"/>
    </row>
    <row r="54" spans="1:2" ht="32" x14ac:dyDescent="0.2">
      <c r="A54" s="15" t="s">
        <v>49</v>
      </c>
      <c r="B54" s="22"/>
    </row>
    <row r="55" spans="1:2" ht="32" x14ac:dyDescent="0.2">
      <c r="A55" s="15" t="s">
        <v>50</v>
      </c>
      <c r="B55" s="22"/>
    </row>
    <row r="56" spans="1:2" ht="64" x14ac:dyDescent="0.2">
      <c r="A56" s="15" t="s">
        <v>51</v>
      </c>
      <c r="B56" s="22"/>
    </row>
    <row r="57" spans="1:2" x14ac:dyDescent="0.2">
      <c r="A57" s="15" t="s">
        <v>52</v>
      </c>
      <c r="B57" s="22"/>
    </row>
    <row r="58" spans="1:2" x14ac:dyDescent="0.2">
      <c r="A58" s="15" t="s">
        <v>53</v>
      </c>
      <c r="B58" s="22"/>
    </row>
    <row r="59" spans="1:2" x14ac:dyDescent="0.2">
      <c r="A59" s="7"/>
      <c r="B59" s="22"/>
    </row>
    <row r="60" spans="1:2" x14ac:dyDescent="0.2">
      <c r="A60" s="7"/>
      <c r="B60" s="22"/>
    </row>
    <row r="61" spans="1:2" x14ac:dyDescent="0.2">
      <c r="A61" s="9" t="s">
        <v>54</v>
      </c>
      <c r="B61" s="23">
        <f t="shared" ref="B61" si="7">B45+B49</f>
        <v>11107723.237599999</v>
      </c>
    </row>
    <row r="62" spans="1:2" x14ac:dyDescent="0.2">
      <c r="A62" s="10" t="s">
        <v>55</v>
      </c>
      <c r="B62" s="28">
        <f t="shared" ref="B62" si="8">B4-B61</f>
        <v>8424209.270397976</v>
      </c>
    </row>
    <row r="63" spans="1:2" x14ac:dyDescent="0.2">
      <c r="A63" s="11" t="s">
        <v>56</v>
      </c>
      <c r="B63" s="29">
        <f>B62/B4*100</f>
        <v>43.130444296530378</v>
      </c>
    </row>
    <row r="64" spans="1:2" x14ac:dyDescent="0.2">
      <c r="A64" s="16"/>
      <c r="B64" s="31"/>
    </row>
    <row r="65" spans="1:2" x14ac:dyDescent="0.2">
      <c r="A65" s="16"/>
      <c r="B65" s="31"/>
    </row>
    <row r="66" spans="1:2" x14ac:dyDescent="0.2">
      <c r="A66" s="16"/>
      <c r="B66" s="31"/>
    </row>
    <row r="67" spans="1:2" x14ac:dyDescent="0.2">
      <c r="A67" s="16"/>
      <c r="B67" s="31"/>
    </row>
    <row r="68" spans="1:2" x14ac:dyDescent="0.2">
      <c r="A68" s="16"/>
      <c r="B68" s="31"/>
    </row>
    <row r="69" spans="1:2" x14ac:dyDescent="0.2">
      <c r="A69" s="16"/>
      <c r="B69" s="31"/>
    </row>
    <row r="70" spans="1:2" x14ac:dyDescent="0.2">
      <c r="A70" s="16"/>
      <c r="B70" s="31"/>
    </row>
    <row r="71" spans="1:2" x14ac:dyDescent="0.2">
      <c r="A71" s="16"/>
      <c r="B71" s="31"/>
    </row>
    <row r="72" spans="1:2" x14ac:dyDescent="0.2">
      <c r="A72" s="16"/>
      <c r="B72" s="31"/>
    </row>
    <row r="73" spans="1:2" x14ac:dyDescent="0.2">
      <c r="A73" s="16"/>
      <c r="B73" s="31"/>
    </row>
    <row r="74" spans="1:2" x14ac:dyDescent="0.2">
      <c r="A74" s="16"/>
      <c r="B74" s="31"/>
    </row>
    <row r="75" spans="1:2" x14ac:dyDescent="0.2">
      <c r="A75" s="16"/>
      <c r="B75" s="31"/>
    </row>
    <row r="76" spans="1:2" x14ac:dyDescent="0.2">
      <c r="A76" s="16"/>
      <c r="B76" s="31"/>
    </row>
    <row r="77" spans="1:2" x14ac:dyDescent="0.2">
      <c r="A77" s="16"/>
      <c r="B77" s="31"/>
    </row>
    <row r="78" spans="1:2" x14ac:dyDescent="0.2">
      <c r="A78" s="16"/>
      <c r="B78" s="31"/>
    </row>
    <row r="79" spans="1:2" x14ac:dyDescent="0.2">
      <c r="A79" s="16"/>
      <c r="B79" s="31"/>
    </row>
    <row r="80" spans="1:2" x14ac:dyDescent="0.2">
      <c r="A80" s="16"/>
      <c r="B80" s="31"/>
    </row>
    <row r="81" spans="1:2" x14ac:dyDescent="0.2">
      <c r="A81" s="16"/>
      <c r="B81" s="31"/>
    </row>
    <row r="82" spans="1:2" x14ac:dyDescent="0.2">
      <c r="A82" s="16"/>
      <c r="B82" s="31"/>
    </row>
    <row r="83" spans="1:2" x14ac:dyDescent="0.2">
      <c r="A83" s="16"/>
      <c r="B83" s="31"/>
    </row>
    <row r="84" spans="1:2" x14ac:dyDescent="0.2">
      <c r="A84" s="16"/>
      <c r="B84" s="31"/>
    </row>
    <row r="85" spans="1:2" x14ac:dyDescent="0.2">
      <c r="A85" s="16"/>
      <c r="B85" s="3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pshenya alex</dc:creator>
  <cp:lastModifiedBy>pshenya alex</cp:lastModifiedBy>
  <dcterms:created xsi:type="dcterms:W3CDTF">2026-10-19T09:42:33Z</dcterms:created>
  <dcterms:modified xsi:type="dcterms:W3CDTF">2026-10-19T09:48:30Z</dcterms:modified>
</cp:coreProperties>
</file>