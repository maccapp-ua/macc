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pshenya/Desktop/overpoint/macc/бюджет/"/>
    </mc:Choice>
  </mc:AlternateContent>
  <xr:revisionPtr revIDLastSave="0" documentId="8_{893AF1A6-6BAB-EB49-97B6-69092016F28A}" xr6:coauthVersionLast="47" xr6:coauthVersionMax="47" xr10:uidLastSave="{00000000-0000-0000-0000-000000000000}"/>
  <bookViews>
    <workbookView xWindow="280" yWindow="600" windowWidth="28240" windowHeight="16220" xr2:uid="{1033746C-391E-5741-8F97-F716C50CAEA6}"/>
  </bookViews>
  <sheets>
    <sheet name="Лист1" sheetId="1" r:id="rId1"/>
  </sheets>
  <definedNames>
    <definedName name="_xlnm._FilterDatabase" localSheetId="0" hidden="1">Лист1!$A$1:$O$1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P3" i="1"/>
  <c r="P4" i="1"/>
  <c r="P5" i="1"/>
  <c r="P6" i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2" i="1"/>
  <c r="Q2" i="1" s="1"/>
  <c r="O3" i="1"/>
  <c r="O4" i="1"/>
  <c r="O5" i="1"/>
  <c r="O6" i="1"/>
  <c r="O7" i="1"/>
  <c r="O8" i="1"/>
  <c r="O9" i="1"/>
  <c r="O10" i="1"/>
  <c r="O11" i="1"/>
  <c r="O12" i="1"/>
  <c r="O2" i="1"/>
  <c r="M3" i="1"/>
  <c r="M4" i="1"/>
  <c r="M5" i="1"/>
  <c r="M6" i="1"/>
  <c r="M7" i="1"/>
  <c r="M8" i="1"/>
  <c r="M9" i="1"/>
  <c r="M10" i="1"/>
  <c r="M11" i="1"/>
  <c r="M12" i="1"/>
  <c r="J3" i="1"/>
  <c r="J4" i="1"/>
  <c r="J5" i="1"/>
  <c r="J6" i="1"/>
  <c r="J8" i="1"/>
  <c r="J10" i="1"/>
  <c r="J11" i="1"/>
  <c r="J12" i="1"/>
  <c r="J2" i="1"/>
  <c r="I3" i="1"/>
  <c r="I4" i="1"/>
  <c r="I5" i="1"/>
  <c r="I6" i="1"/>
  <c r="I7" i="1"/>
  <c r="I8" i="1"/>
  <c r="I9" i="1"/>
  <c r="I10" i="1"/>
  <c r="I11" i="1"/>
  <c r="I12" i="1"/>
  <c r="I2" i="1"/>
  <c r="G3" i="1"/>
  <c r="G4" i="1"/>
  <c r="G5" i="1"/>
  <c r="G6" i="1"/>
  <c r="G7" i="1"/>
  <c r="G8" i="1"/>
  <c r="G9" i="1"/>
  <c r="G10" i="1"/>
  <c r="G11" i="1"/>
  <c r="G12" i="1"/>
  <c r="M2" i="1"/>
  <c r="G2" i="1"/>
  <c r="N2" i="1" s="1"/>
  <c r="N11" i="1" l="1"/>
  <c r="Q13" i="1"/>
  <c r="N7" i="1"/>
  <c r="M13" i="1"/>
  <c r="D17" i="1" s="1"/>
  <c r="G13" i="1"/>
  <c r="D16" i="1" s="1"/>
  <c r="D18" i="1" s="1"/>
  <c r="D19" i="1" s="1"/>
  <c r="N6" i="1"/>
  <c r="N5" i="1"/>
  <c r="N10" i="1"/>
  <c r="N12" i="1"/>
  <c r="N3" i="1"/>
  <c r="N9" i="1"/>
  <c r="N8" i="1"/>
  <c r="N4" i="1"/>
  <c r="N13" i="1" l="1"/>
</calcChain>
</file>

<file path=xl/sharedStrings.xml><?xml version="1.0" encoding="utf-8"?>
<sst xmlns="http://schemas.openxmlformats.org/spreadsheetml/2006/main" count="45" uniqueCount="37">
  <si>
    <t>№ п/п</t>
  </si>
  <si>
    <t xml:space="preserve">Вид роботи/матеріали/інше ДЦ </t>
  </si>
  <si>
    <t xml:space="preserve">одиниця виміру ДЦ </t>
  </si>
  <si>
    <t xml:space="preserve">кількість ДЦ </t>
  </si>
  <si>
    <t xml:space="preserve">Ціна ДЦ </t>
  </si>
  <si>
    <t xml:space="preserve">Сума ДЦ </t>
  </si>
  <si>
    <t>Вид роботи/матеріали/інше план</t>
  </si>
  <si>
    <t>одиниця виміру план</t>
  </si>
  <si>
    <t>кількість план</t>
  </si>
  <si>
    <t>Ціна план</t>
  </si>
  <si>
    <t>Сума план</t>
  </si>
  <si>
    <t>Баланс</t>
  </si>
  <si>
    <t>Демнтаж перегородок</t>
  </si>
  <si>
    <t>м2</t>
  </si>
  <si>
    <t>монтаж вікон</t>
  </si>
  <si>
    <t>роботи</t>
  </si>
  <si>
    <t>вид</t>
  </si>
  <si>
    <t>матеріали</t>
  </si>
  <si>
    <t>віконні блоки</t>
  </si>
  <si>
    <t>% ціна</t>
  </si>
  <si>
    <t>піна монтажна</t>
  </si>
  <si>
    <t>шт</t>
  </si>
  <si>
    <t>анкер</t>
  </si>
  <si>
    <t>різниця розходу</t>
  </si>
  <si>
    <t>Додатковий дохід</t>
  </si>
  <si>
    <t>вивезення сміття</t>
  </si>
  <si>
    <t>т</t>
  </si>
  <si>
    <t>маш</t>
  </si>
  <si>
    <t>Загально виробничі</t>
  </si>
  <si>
    <t>Охорона обʼєкту</t>
  </si>
  <si>
    <t>міс</t>
  </si>
  <si>
    <t>Адмінстративні</t>
  </si>
  <si>
    <t>ЗП Прораб</t>
  </si>
  <si>
    <t>Всього ДЦ</t>
  </si>
  <si>
    <t>Всього витрати</t>
  </si>
  <si>
    <t>Баланс обʼєкту, грн</t>
  </si>
  <si>
    <t>Баланс обʼєкту,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</si>
</sst>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_ ;\-0\ "/>
    <numFmt numFmtId="165" formatCode="#,##0.00_ ;[Red]\-#,##0.00\ "/>
  </numFmts>
  <fonts count="3" x14ac:knownFonts="1">
    <font>
      <sz val="12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sz val="12"/>
      <name val="Aptos Narrow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43" fontId="0" fillId="0" borderId="0" xfId="1" applyFont="1"/>
    <xf numFmtId="43" fontId="0" fillId="2" borderId="1" xfId="1" applyFont="1" applyFill="1" applyBorder="1"/>
    <xf numFmtId="43" fontId="0" fillId="0" borderId="1" xfId="1" applyFont="1" applyBorder="1"/>
    <xf numFmtId="43" fontId="2" fillId="3" borderId="1" xfId="1" applyFont="1" applyFill="1" applyBorder="1"/>
    <xf numFmtId="164" fontId="0" fillId="2" borderId="1" xfId="1" applyNumberFormat="1" applyFont="1" applyFill="1" applyBorder="1"/>
    <xf numFmtId="164" fontId="0" fillId="0" borderId="1" xfId="1" applyNumberFormat="1" applyFont="1" applyBorder="1"/>
    <xf numFmtId="164" fontId="0" fillId="0" borderId="0" xfId="1" applyNumberFormat="1" applyFont="1"/>
    <xf numFmtId="165" fontId="2" fillId="4" borderId="1" xfId="1" applyNumberFormat="1" applyFont="1" applyFill="1" applyBorder="1"/>
    <xf numFmtId="165" fontId="0" fillId="0" borderId="1" xfId="1" applyNumberFormat="1" applyFont="1" applyBorder="1"/>
    <xf numFmtId="165" fontId="0" fillId="0" borderId="0" xfId="1" applyNumberFormat="1" applyFont="1"/>
    <xf numFmtId="43" fontId="0" fillId="2" borderId="1" xfId="1" applyFont="1" applyFill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0" xfId="1" applyFont="1" applyAlignment="1">
      <alignment horizontal="center"/>
    </xf>
    <xf numFmtId="9" fontId="2" fillId="5" borderId="1" xfId="1" applyNumberFormat="1" applyFont="1" applyFill="1" applyBorder="1" applyAlignment="1">
      <alignment horizontal="center"/>
    </xf>
    <xf numFmtId="9" fontId="0" fillId="0" borderId="1" xfId="1" applyNumberFormat="1" applyFont="1" applyBorder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6" borderId="1" xfId="1" applyFont="1" applyFill="1" applyBorder="1" applyAlignment="1">
      <alignment horizontal="center"/>
    </xf>
    <xf numFmtId="43" fontId="0" fillId="6" borderId="1" xfId="1" applyFont="1" applyFill="1" applyBorder="1"/>
    <xf numFmtId="43" fontId="0" fillId="6" borderId="0" xfId="1" applyFont="1" applyFill="1" applyAlignment="1">
      <alignment horizontal="center"/>
    </xf>
    <xf numFmtId="43" fontId="2" fillId="3" borderId="1" xfId="1" applyFont="1" applyFill="1" applyBorder="1" applyAlignment="1">
      <alignment horizontal="center"/>
    </xf>
    <xf numFmtId="165" fontId="0" fillId="6" borderId="0" xfId="1" applyNumberFormat="1" applyFont="1" applyFill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43" fontId="0" fillId="0" borderId="0" xfId="1" applyFont="1" applyAlignment="1">
      <alignment horizontal="right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8ECDC-553F-0349-BFD7-C5FC200695BB}">
  <dimension ref="A1:Q19"/>
  <sheetViews>
    <sheetView tabSelected="1" topLeftCell="B1" zoomScale="119" workbookViewId="0">
      <selection activeCell="E15" sqref="E15"/>
    </sheetView>
  </sheetViews>
  <sheetFormatPr baseColWidth="10" defaultRowHeight="16" x14ac:dyDescent="0.2"/>
  <cols>
    <col min="1" max="1" width="8.6640625" style="7" bestFit="1" customWidth="1"/>
    <col min="2" max="2" width="10.83203125" style="1" bestFit="1" customWidth="1"/>
    <col min="3" max="3" width="31.6640625" style="1" bestFit="1" customWidth="1"/>
    <col min="4" max="4" width="21.33203125" style="13" bestFit="1" customWidth="1"/>
    <col min="5" max="5" width="15.33203125" style="13" bestFit="1" customWidth="1"/>
    <col min="6" max="6" width="12" style="13" bestFit="1" customWidth="1"/>
    <col min="7" max="7" width="12.5" style="13" bestFit="1" customWidth="1"/>
    <col min="8" max="8" width="2.6640625" style="1" customWidth="1"/>
    <col min="9" max="9" width="32.83203125" style="1" bestFit="1" customWidth="1"/>
    <col min="10" max="10" width="22.5" style="13" bestFit="1" customWidth="1"/>
    <col min="11" max="11" width="16.5" style="1" bestFit="1" customWidth="1"/>
    <col min="12" max="12" width="13" style="1" bestFit="1" customWidth="1"/>
    <col min="13" max="13" width="13.5" style="1" bestFit="1" customWidth="1"/>
    <col min="14" max="14" width="11" style="10" bestFit="1" customWidth="1"/>
    <col min="15" max="15" width="9" style="16" bestFit="1" customWidth="1"/>
    <col min="16" max="16" width="15.83203125" style="23" bestFit="1" customWidth="1"/>
    <col min="17" max="17" width="17.33203125" style="13" bestFit="1" customWidth="1"/>
    <col min="18" max="16384" width="10.83203125" style="1"/>
  </cols>
  <sheetData>
    <row r="1" spans="1:17" x14ac:dyDescent="0.2">
      <c r="A1" s="5" t="s">
        <v>0</v>
      </c>
      <c r="B1" s="2" t="s">
        <v>16</v>
      </c>
      <c r="C1" s="2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3"/>
      <c r="I1" s="4" t="s">
        <v>6</v>
      </c>
      <c r="J1" s="20" t="s">
        <v>7</v>
      </c>
      <c r="K1" s="4" t="s">
        <v>8</v>
      </c>
      <c r="L1" s="4" t="s">
        <v>9</v>
      </c>
      <c r="M1" s="4" t="s">
        <v>10</v>
      </c>
      <c r="N1" s="8" t="s">
        <v>11</v>
      </c>
      <c r="O1" s="14" t="s">
        <v>19</v>
      </c>
      <c r="P1" s="21" t="s">
        <v>23</v>
      </c>
      <c r="Q1" s="19" t="s">
        <v>24</v>
      </c>
    </row>
    <row r="2" spans="1:17" x14ac:dyDescent="0.2">
      <c r="A2" s="6">
        <v>1</v>
      </c>
      <c r="B2" s="3" t="s">
        <v>15</v>
      </c>
      <c r="C2" s="3" t="s">
        <v>12</v>
      </c>
      <c r="D2" s="12" t="s">
        <v>13</v>
      </c>
      <c r="E2" s="12">
        <v>10</v>
      </c>
      <c r="F2" s="12">
        <v>300</v>
      </c>
      <c r="G2" s="12">
        <f>E2*F2</f>
        <v>3000</v>
      </c>
      <c r="H2" s="3"/>
      <c r="I2" s="3" t="str">
        <f>C2</f>
        <v>Демнтаж перегородок</v>
      </c>
      <c r="J2" s="12" t="str">
        <f>D2</f>
        <v>м2</v>
      </c>
      <c r="K2" s="3">
        <v>7</v>
      </c>
      <c r="L2" s="3">
        <v>500</v>
      </c>
      <c r="M2" s="3">
        <f>K2*L2</f>
        <v>3500</v>
      </c>
      <c r="N2" s="9">
        <f>G2-M2</f>
        <v>-500</v>
      </c>
      <c r="O2" s="15">
        <f>(F2-L2)/F2</f>
        <v>-0.66666666666666663</v>
      </c>
      <c r="P2" s="22">
        <f>E2-K2</f>
        <v>3</v>
      </c>
      <c r="Q2" s="12">
        <f>P2*F2</f>
        <v>900</v>
      </c>
    </row>
    <row r="3" spans="1:17" x14ac:dyDescent="0.2">
      <c r="A3" s="6">
        <v>2</v>
      </c>
      <c r="B3" s="3" t="s">
        <v>15</v>
      </c>
      <c r="C3" s="3" t="s">
        <v>14</v>
      </c>
      <c r="D3" s="12" t="s">
        <v>13</v>
      </c>
      <c r="E3" s="12">
        <v>10</v>
      </c>
      <c r="F3" s="12">
        <v>600</v>
      </c>
      <c r="G3" s="12">
        <f t="shared" ref="G3:G12" si="0">E3*F3</f>
        <v>6000</v>
      </c>
      <c r="H3" s="3"/>
      <c r="I3" s="3" t="str">
        <f t="shared" ref="I3:I12" si="1">C3</f>
        <v>монтаж вікон</v>
      </c>
      <c r="J3" s="12" t="str">
        <f t="shared" ref="J3:J12" si="2">D3</f>
        <v>м2</v>
      </c>
      <c r="K3" s="3">
        <v>10</v>
      </c>
      <c r="L3" s="3">
        <v>300</v>
      </c>
      <c r="M3" s="3">
        <f t="shared" ref="M3:M12" si="3">K3*L3</f>
        <v>3000</v>
      </c>
      <c r="N3" s="9">
        <f t="shared" ref="N3:N12" si="4">G3-M3</f>
        <v>3000</v>
      </c>
      <c r="O3" s="15">
        <f t="shared" ref="O3:O12" si="5">(F3-L3)/F3</f>
        <v>0.5</v>
      </c>
      <c r="P3" s="22">
        <f t="shared" ref="P3:P12" si="6">E3-K3</f>
        <v>0</v>
      </c>
      <c r="Q3" s="12">
        <f t="shared" ref="Q3:Q12" si="7">P3*F3</f>
        <v>0</v>
      </c>
    </row>
    <row r="4" spans="1:17" x14ac:dyDescent="0.2">
      <c r="A4" s="6">
        <v>3</v>
      </c>
      <c r="B4" s="3" t="s">
        <v>17</v>
      </c>
      <c r="C4" s="3" t="s">
        <v>18</v>
      </c>
      <c r="D4" s="12" t="s">
        <v>13</v>
      </c>
      <c r="E4" s="12">
        <v>10</v>
      </c>
      <c r="F4" s="12">
        <v>5000</v>
      </c>
      <c r="G4" s="12">
        <f t="shared" si="0"/>
        <v>50000</v>
      </c>
      <c r="H4" s="3"/>
      <c r="I4" s="3" t="str">
        <f t="shared" si="1"/>
        <v>віконні блоки</v>
      </c>
      <c r="J4" s="12" t="str">
        <f t="shared" si="2"/>
        <v>м2</v>
      </c>
      <c r="K4" s="3">
        <v>10</v>
      </c>
      <c r="L4" s="3">
        <v>3500</v>
      </c>
      <c r="M4" s="3">
        <f t="shared" si="3"/>
        <v>35000</v>
      </c>
      <c r="N4" s="9">
        <f t="shared" si="4"/>
        <v>15000</v>
      </c>
      <c r="O4" s="15">
        <f t="shared" si="5"/>
        <v>0.3</v>
      </c>
      <c r="P4" s="22">
        <f t="shared" si="6"/>
        <v>0</v>
      </c>
      <c r="Q4" s="12">
        <f t="shared" si="7"/>
        <v>0</v>
      </c>
    </row>
    <row r="5" spans="1:17" x14ac:dyDescent="0.2">
      <c r="A5" s="6"/>
      <c r="B5" s="3" t="s">
        <v>17</v>
      </c>
      <c r="C5" s="3" t="s">
        <v>20</v>
      </c>
      <c r="D5" s="12" t="s">
        <v>21</v>
      </c>
      <c r="E5" s="17">
        <v>5</v>
      </c>
      <c r="F5" s="12">
        <v>100</v>
      </c>
      <c r="G5" s="12">
        <f t="shared" si="0"/>
        <v>500</v>
      </c>
      <c r="H5" s="3"/>
      <c r="I5" s="3" t="str">
        <f t="shared" si="1"/>
        <v>піна монтажна</v>
      </c>
      <c r="J5" s="12" t="str">
        <f t="shared" si="2"/>
        <v>шт</v>
      </c>
      <c r="K5" s="18">
        <v>3</v>
      </c>
      <c r="L5" s="3">
        <v>90</v>
      </c>
      <c r="M5" s="3">
        <f t="shared" si="3"/>
        <v>270</v>
      </c>
      <c r="N5" s="9">
        <f t="shared" si="4"/>
        <v>230</v>
      </c>
      <c r="O5" s="15">
        <f t="shared" si="5"/>
        <v>0.1</v>
      </c>
      <c r="P5" s="22">
        <f t="shared" si="6"/>
        <v>2</v>
      </c>
      <c r="Q5" s="12">
        <f t="shared" si="7"/>
        <v>200</v>
      </c>
    </row>
    <row r="6" spans="1:17" x14ac:dyDescent="0.2">
      <c r="A6" s="6"/>
      <c r="B6" s="3" t="s">
        <v>17</v>
      </c>
      <c r="C6" s="3" t="s">
        <v>22</v>
      </c>
      <c r="D6" s="12" t="s">
        <v>21</v>
      </c>
      <c r="E6" s="17">
        <v>50</v>
      </c>
      <c r="F6" s="12">
        <v>40</v>
      </c>
      <c r="G6" s="12">
        <f t="shared" si="0"/>
        <v>2000</v>
      </c>
      <c r="H6" s="3"/>
      <c r="I6" s="3" t="str">
        <f t="shared" si="1"/>
        <v>анкер</v>
      </c>
      <c r="J6" s="12" t="str">
        <f t="shared" si="2"/>
        <v>шт</v>
      </c>
      <c r="K6" s="18">
        <v>30</v>
      </c>
      <c r="L6" s="3">
        <v>20</v>
      </c>
      <c r="M6" s="3">
        <f t="shared" si="3"/>
        <v>600</v>
      </c>
      <c r="N6" s="9">
        <f t="shared" si="4"/>
        <v>1400</v>
      </c>
      <c r="O6" s="15">
        <f t="shared" si="5"/>
        <v>0.5</v>
      </c>
      <c r="P6" s="22">
        <f t="shared" si="6"/>
        <v>20</v>
      </c>
      <c r="Q6" s="12">
        <f t="shared" si="7"/>
        <v>800</v>
      </c>
    </row>
    <row r="7" spans="1:17" x14ac:dyDescent="0.2">
      <c r="A7" s="6"/>
      <c r="B7" s="3" t="s">
        <v>15</v>
      </c>
      <c r="C7" s="3" t="s">
        <v>25</v>
      </c>
      <c r="D7" s="17" t="s">
        <v>26</v>
      </c>
      <c r="E7" s="12">
        <v>45</v>
      </c>
      <c r="F7" s="12">
        <v>500</v>
      </c>
      <c r="G7" s="12">
        <f t="shared" si="0"/>
        <v>22500</v>
      </c>
      <c r="H7" s="3"/>
      <c r="I7" s="3" t="str">
        <f t="shared" si="1"/>
        <v>вивезення сміття</v>
      </c>
      <c r="J7" s="17" t="s">
        <v>27</v>
      </c>
      <c r="K7" s="3">
        <v>3</v>
      </c>
      <c r="L7" s="3">
        <v>10000</v>
      </c>
      <c r="M7" s="3">
        <f t="shared" si="3"/>
        <v>30000</v>
      </c>
      <c r="N7" s="9">
        <f t="shared" si="4"/>
        <v>-7500</v>
      </c>
      <c r="O7" s="15">
        <f t="shared" si="5"/>
        <v>-19</v>
      </c>
      <c r="P7" s="22">
        <f t="shared" si="6"/>
        <v>42</v>
      </c>
      <c r="Q7" s="12">
        <f t="shared" si="7"/>
        <v>21000</v>
      </c>
    </row>
    <row r="8" spans="1:17" x14ac:dyDescent="0.2">
      <c r="A8" s="6"/>
      <c r="B8" s="3"/>
      <c r="C8" s="3" t="s">
        <v>28</v>
      </c>
      <c r="D8" s="12"/>
      <c r="E8" s="12">
        <v>1</v>
      </c>
      <c r="F8" s="12">
        <v>20000</v>
      </c>
      <c r="G8" s="12">
        <f t="shared" si="0"/>
        <v>20000</v>
      </c>
      <c r="H8" s="3"/>
      <c r="I8" s="3" t="str">
        <f t="shared" si="1"/>
        <v>Загально виробничі</v>
      </c>
      <c r="J8" s="12">
        <f t="shared" si="2"/>
        <v>0</v>
      </c>
      <c r="K8" s="3"/>
      <c r="L8" s="3"/>
      <c r="M8" s="3">
        <f t="shared" si="3"/>
        <v>0</v>
      </c>
      <c r="N8" s="9">
        <f t="shared" si="4"/>
        <v>20000</v>
      </c>
      <c r="O8" s="15">
        <f t="shared" si="5"/>
        <v>1</v>
      </c>
      <c r="P8" s="22">
        <f t="shared" si="6"/>
        <v>1</v>
      </c>
      <c r="Q8" s="12">
        <f t="shared" si="7"/>
        <v>20000</v>
      </c>
    </row>
    <row r="9" spans="1:17" x14ac:dyDescent="0.2">
      <c r="A9" s="6"/>
      <c r="B9" s="3"/>
      <c r="C9" s="3" t="s">
        <v>29</v>
      </c>
      <c r="D9" s="12"/>
      <c r="E9" s="12"/>
      <c r="F9" s="12"/>
      <c r="G9" s="12">
        <f t="shared" si="0"/>
        <v>0</v>
      </c>
      <c r="H9" s="3"/>
      <c r="I9" s="3" t="str">
        <f t="shared" si="1"/>
        <v>Охорона обʼєкту</v>
      </c>
      <c r="J9" s="12" t="s">
        <v>30</v>
      </c>
      <c r="K9" s="3">
        <v>12</v>
      </c>
      <c r="L9" s="3">
        <v>50000</v>
      </c>
      <c r="M9" s="3">
        <f t="shared" si="3"/>
        <v>600000</v>
      </c>
      <c r="N9" s="9">
        <f t="shared" si="4"/>
        <v>-600000</v>
      </c>
      <c r="O9" s="15" t="e">
        <f t="shared" si="5"/>
        <v>#DIV/0!</v>
      </c>
      <c r="P9" s="22">
        <f t="shared" si="6"/>
        <v>-12</v>
      </c>
      <c r="Q9" s="12">
        <f t="shared" si="7"/>
        <v>0</v>
      </c>
    </row>
    <row r="10" spans="1:17" x14ac:dyDescent="0.2">
      <c r="A10" s="6"/>
      <c r="B10" s="3"/>
      <c r="C10" s="3" t="s">
        <v>31</v>
      </c>
      <c r="D10" s="12"/>
      <c r="E10" s="12">
        <v>1</v>
      </c>
      <c r="F10" s="12">
        <v>50000</v>
      </c>
      <c r="G10" s="12">
        <f t="shared" si="0"/>
        <v>50000</v>
      </c>
      <c r="H10" s="3"/>
      <c r="I10" s="3" t="str">
        <f t="shared" si="1"/>
        <v>Адмінстративні</v>
      </c>
      <c r="J10" s="12">
        <f t="shared" si="2"/>
        <v>0</v>
      </c>
      <c r="K10" s="3"/>
      <c r="L10" s="3"/>
      <c r="M10" s="3">
        <f t="shared" si="3"/>
        <v>0</v>
      </c>
      <c r="N10" s="9">
        <f t="shared" si="4"/>
        <v>50000</v>
      </c>
      <c r="O10" s="15">
        <f t="shared" si="5"/>
        <v>1</v>
      </c>
      <c r="P10" s="22">
        <f t="shared" si="6"/>
        <v>1</v>
      </c>
      <c r="Q10" s="12">
        <f t="shared" si="7"/>
        <v>50000</v>
      </c>
    </row>
    <row r="11" spans="1:17" x14ac:dyDescent="0.2">
      <c r="A11" s="6"/>
      <c r="B11" s="3"/>
      <c r="C11" s="3" t="s">
        <v>32</v>
      </c>
      <c r="D11" s="12" t="s">
        <v>30</v>
      </c>
      <c r="E11" s="12"/>
      <c r="F11" s="12"/>
      <c r="G11" s="12">
        <f t="shared" si="0"/>
        <v>0</v>
      </c>
      <c r="H11" s="3"/>
      <c r="I11" s="3" t="str">
        <f t="shared" si="1"/>
        <v>ЗП Прораб</v>
      </c>
      <c r="J11" s="12" t="str">
        <f t="shared" si="2"/>
        <v>міс</v>
      </c>
      <c r="K11" s="3">
        <v>12</v>
      </c>
      <c r="L11" s="3">
        <v>40000</v>
      </c>
      <c r="M11" s="3">
        <f t="shared" si="3"/>
        <v>480000</v>
      </c>
      <c r="N11" s="9">
        <f t="shared" si="4"/>
        <v>-480000</v>
      </c>
      <c r="O11" s="15" t="e">
        <f t="shared" si="5"/>
        <v>#DIV/0!</v>
      </c>
      <c r="P11" s="22">
        <f t="shared" si="6"/>
        <v>-12</v>
      </c>
      <c r="Q11" s="12">
        <f t="shared" si="7"/>
        <v>0</v>
      </c>
    </row>
    <row r="12" spans="1:17" x14ac:dyDescent="0.2">
      <c r="A12" s="6"/>
      <c r="B12" s="3"/>
      <c r="C12" s="3"/>
      <c r="D12" s="12"/>
      <c r="E12" s="12"/>
      <c r="F12" s="12"/>
      <c r="G12" s="12">
        <f t="shared" si="0"/>
        <v>0</v>
      </c>
      <c r="H12" s="3"/>
      <c r="I12" s="3">
        <f t="shared" si="1"/>
        <v>0</v>
      </c>
      <c r="J12" s="12">
        <f t="shared" si="2"/>
        <v>0</v>
      </c>
      <c r="K12" s="3"/>
      <c r="L12" s="3"/>
      <c r="M12" s="3">
        <f t="shared" si="3"/>
        <v>0</v>
      </c>
      <c r="N12" s="9">
        <f t="shared" si="4"/>
        <v>0</v>
      </c>
      <c r="O12" s="15" t="e">
        <f t="shared" si="5"/>
        <v>#DIV/0!</v>
      </c>
      <c r="P12" s="22">
        <f t="shared" si="6"/>
        <v>0</v>
      </c>
      <c r="Q12" s="12">
        <f t="shared" si="7"/>
        <v>0</v>
      </c>
    </row>
    <row r="13" spans="1:17" x14ac:dyDescent="0.2">
      <c r="G13" s="13">
        <f>SUM(G2:G12)</f>
        <v>154000</v>
      </c>
      <c r="M13" s="1">
        <f>SUM(M2:M12)</f>
        <v>1152370</v>
      </c>
      <c r="N13" s="10">
        <f>SUM(N2:N12)</f>
        <v>-998370</v>
      </c>
      <c r="Q13" s="13">
        <f>SUM(Q2:Q12)</f>
        <v>92900</v>
      </c>
    </row>
    <row r="16" spans="1:17" x14ac:dyDescent="0.2">
      <c r="C16" s="24" t="s">
        <v>33</v>
      </c>
      <c r="D16" s="13">
        <f>G13</f>
        <v>154000</v>
      </c>
    </row>
    <row r="17" spans="3:4" x14ac:dyDescent="0.2">
      <c r="C17" s="24" t="s">
        <v>34</v>
      </c>
      <c r="D17" s="13">
        <f>M13</f>
        <v>1152370</v>
      </c>
    </row>
    <row r="18" spans="3:4" x14ac:dyDescent="0.2">
      <c r="C18" s="1" t="s">
        <v>35</v>
      </c>
      <c r="D18" s="23">
        <f>D16-D17</f>
        <v>-998370</v>
      </c>
    </row>
    <row r="19" spans="3:4" x14ac:dyDescent="0.2">
      <c r="C19" s="1" t="s">
        <v>36</v>
      </c>
      <c r="D19" s="16">
        <f>D18/D16</f>
        <v>-6.482922077922078</v>
      </c>
    </row>
  </sheetData>
  <autoFilter ref="A1:O1" xr:uid="{76B8ECDC-553F-0349-BFD7-C5FC200695B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pshenya alex</dc:creator>
  <cp:lastModifiedBy>pshenya alex</cp:lastModifiedBy>
  <dcterms:created xsi:type="dcterms:W3CDTF">2026-09-18T18:17:47Z</dcterms:created>
  <dcterms:modified xsi:type="dcterms:W3CDTF">2026-09-19T14:47:34Z</dcterms:modified>
</cp:coreProperties>
</file>