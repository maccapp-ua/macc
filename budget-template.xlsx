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pshenya/Downloads/"/>
    </mc:Choice>
  </mc:AlternateContent>
  <xr:revisionPtr revIDLastSave="0" documentId="13_ncr:1_{7BA62E80-CEC6-2247-9420-4FF4D4B71A6A}" xr6:coauthVersionLast="47" xr6:coauthVersionMax="47" xr10:uidLastSave="{00000000-0000-0000-0000-000000000000}"/>
  <bookViews>
    <workbookView xWindow="1080" yWindow="1600" windowWidth="27440" windowHeight="15220" xr2:uid="{AA739F5A-19AA-9746-9015-DFE48CE6A08B}"/>
  </bookViews>
  <sheets>
    <sheet name="Бюджет " sheetId="1" r:id="rId1"/>
    <sheet name="ДЦ" sheetId="2" r:id="rId2"/>
  </sheets>
  <externalReferences>
    <externalReference r:id="rId3"/>
  </externalReferences>
  <definedNames>
    <definedName name="Компания_плательщик">#REF!</definedName>
    <definedName name="кредит">#REF!</definedName>
    <definedName name="монолит">#REF!</definedName>
    <definedName name="Фирма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49" i="2" l="1"/>
  <c r="P448" i="2"/>
  <c r="P447" i="2"/>
  <c r="H446" i="2"/>
  <c r="P446" i="2" s="1"/>
  <c r="J444" i="2"/>
  <c r="H444" i="2"/>
  <c r="P444" i="2" s="1"/>
  <c r="P443" i="2"/>
  <c r="L443" i="2"/>
  <c r="H443" i="2"/>
  <c r="H445" i="2" s="1"/>
  <c r="P442" i="2"/>
  <c r="H441" i="2"/>
  <c r="P441" i="2" s="1"/>
  <c r="H440" i="2"/>
  <c r="P440" i="2" s="1"/>
  <c r="P439" i="2"/>
  <c r="L439" i="2"/>
  <c r="H438" i="2"/>
  <c r="P438" i="2" s="1"/>
  <c r="H424" i="2"/>
  <c r="J424" i="2" s="1"/>
  <c r="L425" i="2" s="1"/>
  <c r="J423" i="2"/>
  <c r="H423" i="2"/>
  <c r="P422" i="2"/>
  <c r="L422" i="2"/>
  <c r="L426" i="2" s="1"/>
  <c r="P415" i="2"/>
  <c r="P414" i="2"/>
  <c r="P413" i="2"/>
  <c r="P412" i="2"/>
  <c r="M412" i="2"/>
  <c r="L412" i="2"/>
  <c r="P411" i="2"/>
  <c r="M411" i="2"/>
  <c r="L411" i="2"/>
  <c r="P410" i="2"/>
  <c r="H409" i="2"/>
  <c r="P409" i="2" s="1"/>
  <c r="P408" i="2"/>
  <c r="J408" i="2"/>
  <c r="H408" i="2"/>
  <c r="P407" i="2"/>
  <c r="L407" i="2"/>
  <c r="P406" i="2"/>
  <c r="P405" i="2"/>
  <c r="P404" i="2"/>
  <c r="P402" i="2"/>
  <c r="P401" i="2"/>
  <c r="P400" i="2"/>
  <c r="P399" i="2"/>
  <c r="P398" i="2"/>
  <c r="P397" i="2"/>
  <c r="P396" i="2"/>
  <c r="P395" i="2"/>
  <c r="P394" i="2"/>
  <c r="H394" i="2"/>
  <c r="J394" i="2" s="1"/>
  <c r="L395" i="2" s="1"/>
  <c r="J393" i="2"/>
  <c r="H393" i="2"/>
  <c r="P393" i="2" s="1"/>
  <c r="P392" i="2"/>
  <c r="L392" i="2"/>
  <c r="L396" i="2" s="1"/>
  <c r="P391" i="2"/>
  <c r="P390" i="2"/>
  <c r="P389" i="2"/>
  <c r="L382" i="2"/>
  <c r="L384" i="2" s="1"/>
  <c r="F382" i="2"/>
  <c r="L383" i="2" s="1"/>
  <c r="L385" i="2" s="1"/>
  <c r="L378" i="2"/>
  <c r="L377" i="2"/>
  <c r="P376" i="2"/>
  <c r="L376" i="2"/>
  <c r="L375" i="2"/>
  <c r="P374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J359" i="2"/>
  <c r="H359" i="2"/>
  <c r="P359" i="2" s="1"/>
  <c r="J357" i="2"/>
  <c r="H357" i="2"/>
  <c r="P357" i="2" s="1"/>
  <c r="P356" i="2"/>
  <c r="L356" i="2"/>
  <c r="P355" i="2"/>
  <c r="J355" i="2"/>
  <c r="P354" i="2"/>
  <c r="J354" i="2"/>
  <c r="P353" i="2"/>
  <c r="J353" i="2"/>
  <c r="P352" i="2"/>
  <c r="J352" i="2"/>
  <c r="P351" i="2"/>
  <c r="H351" i="2"/>
  <c r="J351" i="2" s="1"/>
  <c r="J350" i="2"/>
  <c r="H350" i="2"/>
  <c r="H358" i="2" s="1"/>
  <c r="P349" i="2"/>
  <c r="J349" i="2"/>
  <c r="H349" i="2"/>
  <c r="H348" i="2"/>
  <c r="P348" i="2" s="1"/>
  <c r="H347" i="2"/>
  <c r="P347" i="2" s="1"/>
  <c r="P346" i="2"/>
  <c r="P345" i="2"/>
  <c r="P344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H330" i="2"/>
  <c r="L330" i="2" s="1"/>
  <c r="P329" i="2"/>
  <c r="J329" i="2"/>
  <c r="P328" i="2"/>
  <c r="L328" i="2"/>
  <c r="H327" i="2"/>
  <c r="J327" i="2" s="1"/>
  <c r="H326" i="2"/>
  <c r="J326" i="2" s="1"/>
  <c r="H325" i="2"/>
  <c r="J325" i="2" s="1"/>
  <c r="H324" i="2"/>
  <c r="J324" i="2" s="1"/>
  <c r="H323" i="2"/>
  <c r="J323" i="2" s="1"/>
  <c r="H322" i="2"/>
  <c r="J322" i="2" s="1"/>
  <c r="P321" i="2"/>
  <c r="L321" i="2"/>
  <c r="H320" i="2"/>
  <c r="J320" i="2" s="1"/>
  <c r="H319" i="2"/>
  <c r="J319" i="2" s="1"/>
  <c r="H318" i="2"/>
  <c r="J318" i="2" s="1"/>
  <c r="H317" i="2"/>
  <c r="P316" i="2"/>
  <c r="L316" i="2"/>
  <c r="H315" i="2"/>
  <c r="H314" i="2"/>
  <c r="P314" i="2" s="1"/>
  <c r="H312" i="2"/>
  <c r="P311" i="2"/>
  <c r="L311" i="2"/>
  <c r="P310" i="2"/>
  <c r="H310" i="2"/>
  <c r="J310" i="2" s="1"/>
  <c r="H309" i="2"/>
  <c r="H308" i="2"/>
  <c r="P308" i="2" s="1"/>
  <c r="H307" i="2"/>
  <c r="P307" i="2" s="1"/>
  <c r="P306" i="2"/>
  <c r="L306" i="2"/>
  <c r="P305" i="2"/>
  <c r="H305" i="2"/>
  <c r="J305" i="2" s="1"/>
  <c r="P304" i="2"/>
  <c r="H304" i="2"/>
  <c r="J304" i="2" s="1"/>
  <c r="H303" i="2"/>
  <c r="H302" i="2"/>
  <c r="P302" i="2" s="1"/>
  <c r="P301" i="2"/>
  <c r="L301" i="2"/>
  <c r="P300" i="2"/>
  <c r="H300" i="2"/>
  <c r="J300" i="2" s="1"/>
  <c r="P299" i="2"/>
  <c r="H299" i="2"/>
  <c r="J299" i="2" s="1"/>
  <c r="P298" i="2"/>
  <c r="H298" i="2"/>
  <c r="J298" i="2" s="1"/>
  <c r="H297" i="2"/>
  <c r="H296" i="2"/>
  <c r="P296" i="2" s="1"/>
  <c r="P295" i="2"/>
  <c r="J295" i="2"/>
  <c r="H295" i="2"/>
  <c r="P294" i="2"/>
  <c r="J294" i="2"/>
  <c r="H294" i="2"/>
  <c r="J293" i="2"/>
  <c r="H293" i="2"/>
  <c r="P293" i="2" s="1"/>
  <c r="H292" i="2"/>
  <c r="P292" i="2" s="1"/>
  <c r="P291" i="2"/>
  <c r="H291" i="2"/>
  <c r="P290" i="2"/>
  <c r="L290" i="2"/>
  <c r="P289" i="2"/>
  <c r="J289" i="2"/>
  <c r="H289" i="2"/>
  <c r="P288" i="2"/>
  <c r="J288" i="2"/>
  <c r="H288" i="2"/>
  <c r="J287" i="2"/>
  <c r="H287" i="2"/>
  <c r="P287" i="2" s="1"/>
  <c r="H286" i="2"/>
  <c r="P286" i="2" s="1"/>
  <c r="P284" i="2"/>
  <c r="H284" i="2"/>
  <c r="H285" i="2" s="1"/>
  <c r="J285" i="2" s="1"/>
  <c r="P283" i="2"/>
  <c r="L283" i="2"/>
  <c r="P282" i="2"/>
  <c r="J282" i="2"/>
  <c r="H282" i="2"/>
  <c r="J281" i="2"/>
  <c r="H281" i="2"/>
  <c r="P281" i="2" s="1"/>
  <c r="P280" i="2"/>
  <c r="L280" i="2"/>
  <c r="P279" i="2"/>
  <c r="P278" i="2"/>
  <c r="L278" i="2"/>
  <c r="P277" i="2"/>
  <c r="L277" i="2"/>
  <c r="P276" i="2"/>
  <c r="L276" i="2"/>
  <c r="P275" i="2"/>
  <c r="J275" i="2"/>
  <c r="P274" i="2"/>
  <c r="J274" i="2"/>
  <c r="P273" i="2"/>
  <c r="J273" i="2"/>
  <c r="P272" i="2"/>
  <c r="J272" i="2"/>
  <c r="H272" i="2"/>
  <c r="P271" i="2"/>
  <c r="J271" i="2"/>
  <c r="P270" i="2"/>
  <c r="J270" i="2"/>
  <c r="P269" i="2"/>
  <c r="L269" i="2"/>
  <c r="H268" i="2"/>
  <c r="P268" i="2" s="1"/>
  <c r="P267" i="2"/>
  <c r="L267" i="2"/>
  <c r="J266" i="2"/>
  <c r="H266" i="2"/>
  <c r="P266" i="2" s="1"/>
  <c r="P265" i="2"/>
  <c r="L265" i="2"/>
  <c r="P264" i="2"/>
  <c r="J264" i="2"/>
  <c r="H264" i="2"/>
  <c r="P263" i="2"/>
  <c r="L263" i="2"/>
  <c r="P262" i="2"/>
  <c r="J262" i="2"/>
  <c r="P261" i="2"/>
  <c r="J261" i="2"/>
  <c r="P260" i="2"/>
  <c r="J260" i="2"/>
  <c r="P259" i="2"/>
  <c r="J259" i="2"/>
  <c r="P258" i="2"/>
  <c r="J258" i="2"/>
  <c r="H257" i="2"/>
  <c r="P256" i="2"/>
  <c r="H256" i="2"/>
  <c r="J256" i="2" s="1"/>
  <c r="P255" i="2"/>
  <c r="L255" i="2"/>
  <c r="H254" i="2"/>
  <c r="P253" i="2"/>
  <c r="H253" i="2"/>
  <c r="J253" i="2" s="1"/>
  <c r="J252" i="2"/>
  <c r="H252" i="2"/>
  <c r="P252" i="2" s="1"/>
  <c r="P251" i="2"/>
  <c r="L251" i="2"/>
  <c r="P250" i="2"/>
  <c r="J249" i="2"/>
  <c r="H249" i="2"/>
  <c r="P249" i="2" s="1"/>
  <c r="P248" i="2"/>
  <c r="L248" i="2"/>
  <c r="J247" i="2"/>
  <c r="H247" i="2"/>
  <c r="P247" i="2" s="1"/>
  <c r="J246" i="2"/>
  <c r="H246" i="2"/>
  <c r="P246" i="2" s="1"/>
  <c r="H245" i="2"/>
  <c r="P245" i="2" s="1"/>
  <c r="P244" i="2"/>
  <c r="L244" i="2"/>
  <c r="P243" i="2"/>
  <c r="L243" i="2"/>
  <c r="P242" i="2"/>
  <c r="P240" i="2"/>
  <c r="P238" i="2"/>
  <c r="J238" i="2"/>
  <c r="P237" i="2"/>
  <c r="J237" i="2"/>
  <c r="P236" i="2"/>
  <c r="J236" i="2"/>
  <c r="P235" i="2"/>
  <c r="J235" i="2"/>
  <c r="P234" i="2"/>
  <c r="J234" i="2"/>
  <c r="P233" i="2"/>
  <c r="J233" i="2"/>
  <c r="J232" i="2"/>
  <c r="H232" i="2"/>
  <c r="P232" i="2" s="1"/>
  <c r="H231" i="2"/>
  <c r="H240" i="2" s="1"/>
  <c r="J240" i="2" s="1"/>
  <c r="P230" i="2"/>
  <c r="L230" i="2"/>
  <c r="H230" i="2"/>
  <c r="P229" i="2"/>
  <c r="I228" i="2"/>
  <c r="H228" i="2"/>
  <c r="P228" i="2" s="1"/>
  <c r="P227" i="2"/>
  <c r="J227" i="2"/>
  <c r="I227" i="2"/>
  <c r="H227" i="2"/>
  <c r="P226" i="2"/>
  <c r="K226" i="2"/>
  <c r="L226" i="2" s="1"/>
  <c r="P225" i="2"/>
  <c r="I223" i="2"/>
  <c r="J222" i="2"/>
  <c r="H222" i="2"/>
  <c r="P222" i="2" s="1"/>
  <c r="L221" i="2"/>
  <c r="H221" i="2"/>
  <c r="H224" i="2" s="1"/>
  <c r="J224" i="2" s="1"/>
  <c r="H217" i="2"/>
  <c r="P216" i="2"/>
  <c r="H216" i="2"/>
  <c r="J216" i="2" s="1"/>
  <c r="H215" i="2"/>
  <c r="P215" i="2" s="1"/>
  <c r="J214" i="2"/>
  <c r="H214" i="2"/>
  <c r="P214" i="2" s="1"/>
  <c r="J213" i="2"/>
  <c r="H213" i="2"/>
  <c r="P213" i="2" s="1"/>
  <c r="P212" i="2"/>
  <c r="L212" i="2"/>
  <c r="P211" i="2"/>
  <c r="P210" i="2"/>
  <c r="J210" i="2"/>
  <c r="H210" i="2"/>
  <c r="P209" i="2"/>
  <c r="L209" i="2"/>
  <c r="H208" i="2"/>
  <c r="P208" i="2" s="1"/>
  <c r="P207" i="2"/>
  <c r="L207" i="2"/>
  <c r="J206" i="2"/>
  <c r="H206" i="2"/>
  <c r="P206" i="2" s="1"/>
  <c r="P205" i="2"/>
  <c r="L205" i="2"/>
  <c r="J204" i="2"/>
  <c r="H204" i="2"/>
  <c r="P204" i="2" s="1"/>
  <c r="P203" i="2"/>
  <c r="L203" i="2"/>
  <c r="P202" i="2"/>
  <c r="H202" i="2"/>
  <c r="J202" i="2" s="1"/>
  <c r="P201" i="2"/>
  <c r="L201" i="2"/>
  <c r="P200" i="2"/>
  <c r="H200" i="2"/>
  <c r="J200" i="2" s="1"/>
  <c r="P199" i="2"/>
  <c r="L199" i="2"/>
  <c r="H198" i="2"/>
  <c r="P197" i="2"/>
  <c r="L197" i="2"/>
  <c r="P196" i="2"/>
  <c r="J196" i="2"/>
  <c r="H196" i="2"/>
  <c r="P195" i="2"/>
  <c r="L195" i="2"/>
  <c r="P194" i="2"/>
  <c r="J194" i="2"/>
  <c r="H194" i="2"/>
  <c r="P193" i="2"/>
  <c r="L193" i="2"/>
  <c r="H192" i="2"/>
  <c r="P191" i="2"/>
  <c r="L191" i="2"/>
  <c r="J190" i="2"/>
  <c r="H190" i="2"/>
  <c r="P190" i="2" s="1"/>
  <c r="P189" i="2"/>
  <c r="L189" i="2"/>
  <c r="P188" i="2"/>
  <c r="J188" i="2"/>
  <c r="H188" i="2"/>
  <c r="P187" i="2"/>
  <c r="L187" i="2"/>
  <c r="P186" i="2"/>
  <c r="H186" i="2"/>
  <c r="J186" i="2" s="1"/>
  <c r="P185" i="2"/>
  <c r="L185" i="2"/>
  <c r="P184" i="2"/>
  <c r="H184" i="2"/>
  <c r="J184" i="2" s="1"/>
  <c r="P183" i="2"/>
  <c r="L183" i="2"/>
  <c r="H182" i="2"/>
  <c r="P182" i="2" s="1"/>
  <c r="P181" i="2"/>
  <c r="L181" i="2"/>
  <c r="P180" i="2"/>
  <c r="H175" i="2"/>
  <c r="P175" i="2" s="1"/>
  <c r="J174" i="2"/>
  <c r="H174" i="2"/>
  <c r="P174" i="2" s="1"/>
  <c r="H173" i="2"/>
  <c r="P171" i="2"/>
  <c r="H171" i="2"/>
  <c r="H172" i="2" s="1"/>
  <c r="J172" i="2" s="1"/>
  <c r="P170" i="2"/>
  <c r="L170" i="2"/>
  <c r="P169" i="2"/>
  <c r="J168" i="2"/>
  <c r="H166" i="2"/>
  <c r="P166" i="2" s="1"/>
  <c r="P164" i="2"/>
  <c r="L164" i="2"/>
  <c r="H164" i="2"/>
  <c r="H168" i="2" s="1"/>
  <c r="P168" i="2" s="1"/>
  <c r="H163" i="2"/>
  <c r="P163" i="2" s="1"/>
  <c r="H160" i="2"/>
  <c r="P159" i="2"/>
  <c r="L159" i="2"/>
  <c r="P158" i="2"/>
  <c r="H154" i="2"/>
  <c r="P153" i="2"/>
  <c r="J153" i="2"/>
  <c r="H153" i="2"/>
  <c r="J151" i="2"/>
  <c r="H151" i="2"/>
  <c r="P151" i="2" s="1"/>
  <c r="P150" i="2"/>
  <c r="H150" i="2"/>
  <c r="L150" i="2" s="1"/>
  <c r="H149" i="2"/>
  <c r="P149" i="2" s="1"/>
  <c r="P148" i="2"/>
  <c r="J148" i="2"/>
  <c r="H148" i="2"/>
  <c r="J147" i="2"/>
  <c r="H147" i="2"/>
  <c r="P147" i="2" s="1"/>
  <c r="H146" i="2"/>
  <c r="P145" i="2"/>
  <c r="L145" i="2"/>
  <c r="J144" i="2"/>
  <c r="H144" i="2"/>
  <c r="P144" i="2" s="1"/>
  <c r="H143" i="2"/>
  <c r="P142" i="2"/>
  <c r="J142" i="2"/>
  <c r="H142" i="2"/>
  <c r="P141" i="2"/>
  <c r="J141" i="2"/>
  <c r="H141" i="2"/>
  <c r="P140" i="2"/>
  <c r="L140" i="2"/>
  <c r="P139" i="2"/>
  <c r="J139" i="2"/>
  <c r="H139" i="2"/>
  <c r="P138" i="2"/>
  <c r="H138" i="2"/>
  <c r="J138" i="2" s="1"/>
  <c r="H137" i="2"/>
  <c r="P137" i="2" s="1"/>
  <c r="P136" i="2"/>
  <c r="H136" i="2"/>
  <c r="J136" i="2" s="1"/>
  <c r="P135" i="2"/>
  <c r="L135" i="2"/>
  <c r="P134" i="2"/>
  <c r="H133" i="2"/>
  <c r="P133" i="2" s="1"/>
  <c r="J132" i="2"/>
  <c r="H132" i="2"/>
  <c r="P132" i="2" s="1"/>
  <c r="H131" i="2"/>
  <c r="P130" i="2"/>
  <c r="J130" i="2"/>
  <c r="H130" i="2"/>
  <c r="P129" i="2"/>
  <c r="H129" i="2"/>
  <c r="J129" i="2" s="1"/>
  <c r="P128" i="2"/>
  <c r="L128" i="2"/>
  <c r="P127" i="2"/>
  <c r="J127" i="2"/>
  <c r="H127" i="2"/>
  <c r="P126" i="2"/>
  <c r="H126" i="2"/>
  <c r="J126" i="2" s="1"/>
  <c r="J125" i="2"/>
  <c r="H125" i="2"/>
  <c r="P125" i="2" s="1"/>
  <c r="P124" i="2"/>
  <c r="H124" i="2"/>
  <c r="J124" i="2" s="1"/>
  <c r="P123" i="2"/>
  <c r="L123" i="2"/>
  <c r="H122" i="2"/>
  <c r="P122" i="2" s="1"/>
  <c r="P121" i="2"/>
  <c r="H121" i="2"/>
  <c r="J121" i="2" s="1"/>
  <c r="P120" i="2"/>
  <c r="L120" i="2"/>
  <c r="H119" i="2"/>
  <c r="P119" i="2" s="1"/>
  <c r="P118" i="2"/>
  <c r="H118" i="2"/>
  <c r="J118" i="2" s="1"/>
  <c r="P117" i="2"/>
  <c r="L117" i="2"/>
  <c r="J116" i="2"/>
  <c r="H116" i="2"/>
  <c r="P116" i="2" s="1"/>
  <c r="P115" i="2"/>
  <c r="H115" i="2"/>
  <c r="J115" i="2" s="1"/>
  <c r="P114" i="2"/>
  <c r="L114" i="2"/>
  <c r="J113" i="2"/>
  <c r="H113" i="2"/>
  <c r="P113" i="2" s="1"/>
  <c r="P112" i="2"/>
  <c r="H112" i="2"/>
  <c r="J112" i="2" s="1"/>
  <c r="H111" i="2"/>
  <c r="P111" i="2" s="1"/>
  <c r="H110" i="2"/>
  <c r="P110" i="2" s="1"/>
  <c r="P109" i="2"/>
  <c r="L109" i="2"/>
  <c r="H108" i="2"/>
  <c r="P108" i="2" s="1"/>
  <c r="H107" i="2"/>
  <c r="P107" i="2" s="1"/>
  <c r="J106" i="2"/>
  <c r="H106" i="2"/>
  <c r="P106" i="2" s="1"/>
  <c r="H105" i="2"/>
  <c r="P104" i="2"/>
  <c r="J104" i="2"/>
  <c r="H104" i="2"/>
  <c r="P103" i="2"/>
  <c r="J103" i="2"/>
  <c r="H103" i="2"/>
  <c r="H102" i="2"/>
  <c r="P102" i="2" s="1"/>
  <c r="P101" i="2"/>
  <c r="H101" i="2"/>
  <c r="J101" i="2" s="1"/>
  <c r="H100" i="2"/>
  <c r="P100" i="2" s="1"/>
  <c r="H99" i="2"/>
  <c r="P99" i="2" s="1"/>
  <c r="J98" i="2"/>
  <c r="H98" i="2"/>
  <c r="P98" i="2" s="1"/>
  <c r="P97" i="2"/>
  <c r="L97" i="2"/>
  <c r="P96" i="2"/>
  <c r="H93" i="2"/>
  <c r="P93" i="2" s="1"/>
  <c r="P90" i="2"/>
  <c r="H90" i="2"/>
  <c r="J89" i="2"/>
  <c r="H89" i="2"/>
  <c r="P89" i="2" s="1"/>
  <c r="H88" i="2"/>
  <c r="P87" i="2"/>
  <c r="L87" i="2"/>
  <c r="H87" i="2"/>
  <c r="P86" i="2"/>
  <c r="H86" i="2"/>
  <c r="J86" i="2" s="1"/>
  <c r="H85" i="2"/>
  <c r="P85" i="2" s="1"/>
  <c r="P84" i="2"/>
  <c r="H84" i="2"/>
  <c r="J84" i="2" s="1"/>
  <c r="P83" i="2"/>
  <c r="J83" i="2"/>
  <c r="H83" i="2"/>
  <c r="P82" i="2"/>
  <c r="L82" i="2"/>
  <c r="P81" i="2"/>
  <c r="H79" i="2"/>
  <c r="L76" i="2"/>
  <c r="H76" i="2"/>
  <c r="P75" i="2"/>
  <c r="H75" i="2"/>
  <c r="J75" i="2" s="1"/>
  <c r="J74" i="2"/>
  <c r="H74" i="2"/>
  <c r="P74" i="2" s="1"/>
  <c r="P73" i="2"/>
  <c r="J73" i="2"/>
  <c r="H73" i="2"/>
  <c r="J72" i="2"/>
  <c r="H72" i="2"/>
  <c r="P72" i="2" s="1"/>
  <c r="H71" i="2"/>
  <c r="P70" i="2"/>
  <c r="L70" i="2"/>
  <c r="P69" i="2"/>
  <c r="P68" i="2"/>
  <c r="H68" i="2"/>
  <c r="J68" i="2" s="1"/>
  <c r="H67" i="2"/>
  <c r="P67" i="2" s="1"/>
  <c r="P66" i="2"/>
  <c r="H66" i="2"/>
  <c r="J66" i="2" s="1"/>
  <c r="J65" i="2"/>
  <c r="H65" i="2"/>
  <c r="P65" i="2" s="1"/>
  <c r="P64" i="2"/>
  <c r="L64" i="2"/>
  <c r="P63" i="2"/>
  <c r="J62" i="2"/>
  <c r="H62" i="2"/>
  <c r="P62" i="2" s="1"/>
  <c r="H61" i="2"/>
  <c r="P60" i="2"/>
  <c r="J60" i="2"/>
  <c r="H60" i="2"/>
  <c r="P59" i="2"/>
  <c r="L59" i="2"/>
  <c r="H58" i="2"/>
  <c r="P57" i="2"/>
  <c r="J57" i="2"/>
  <c r="H57" i="2"/>
  <c r="H56" i="2"/>
  <c r="P56" i="2" s="1"/>
  <c r="J55" i="2"/>
  <c r="H55" i="2"/>
  <c r="P55" i="2" s="1"/>
  <c r="P54" i="2"/>
  <c r="L54" i="2"/>
  <c r="P53" i="2"/>
  <c r="H52" i="2"/>
  <c r="P52" i="2" s="1"/>
  <c r="H51" i="2"/>
  <c r="P51" i="2" s="1"/>
  <c r="J50" i="2"/>
  <c r="H50" i="2"/>
  <c r="P50" i="2" s="1"/>
  <c r="H49" i="2"/>
  <c r="P48" i="2"/>
  <c r="L48" i="2"/>
  <c r="J47" i="2"/>
  <c r="H47" i="2"/>
  <c r="P47" i="2" s="1"/>
  <c r="H46" i="2"/>
  <c r="P45" i="2"/>
  <c r="J45" i="2"/>
  <c r="H45" i="2"/>
  <c r="H44" i="2"/>
  <c r="P44" i="2" s="1"/>
  <c r="H43" i="2"/>
  <c r="P43" i="2" s="1"/>
  <c r="P42" i="2"/>
  <c r="L42" i="2"/>
  <c r="P41" i="2"/>
  <c r="H40" i="2"/>
  <c r="P40" i="2" s="1"/>
  <c r="H39" i="2"/>
  <c r="P39" i="2" s="1"/>
  <c r="J38" i="2"/>
  <c r="H38" i="2"/>
  <c r="P38" i="2" s="1"/>
  <c r="H37" i="2"/>
  <c r="P36" i="2"/>
  <c r="L36" i="2"/>
  <c r="P35" i="2"/>
  <c r="H33" i="2"/>
  <c r="P33" i="2" s="1"/>
  <c r="L31" i="2"/>
  <c r="H31" i="2"/>
  <c r="H32" i="2" s="1"/>
  <c r="J32" i="2" s="1"/>
  <c r="P30" i="2"/>
  <c r="H30" i="2"/>
  <c r="J30" i="2" s="1"/>
  <c r="J29" i="2"/>
  <c r="H29" i="2"/>
  <c r="P29" i="2" s="1"/>
  <c r="H28" i="2"/>
  <c r="P28" i="2" s="1"/>
  <c r="P27" i="2"/>
  <c r="J27" i="2"/>
  <c r="H27" i="2"/>
  <c r="P26" i="2"/>
  <c r="L26" i="2"/>
  <c r="H25" i="2"/>
  <c r="P25" i="2" s="1"/>
  <c r="P24" i="2"/>
  <c r="J24" i="2"/>
  <c r="H24" i="2"/>
  <c r="P23" i="2"/>
  <c r="H23" i="2"/>
  <c r="J23" i="2" s="1"/>
  <c r="H22" i="2"/>
  <c r="J22" i="2" s="1"/>
  <c r="P21" i="2"/>
  <c r="L21" i="2"/>
  <c r="B35" i="1"/>
  <c r="B7" i="1"/>
  <c r="B2" i="1"/>
  <c r="P105" i="2" l="1"/>
  <c r="J105" i="2"/>
  <c r="J51" i="2"/>
  <c r="J28" i="2"/>
  <c r="L332" i="2"/>
  <c r="P143" i="2"/>
  <c r="J143" i="2"/>
  <c r="P303" i="2"/>
  <c r="J303" i="2"/>
  <c r="P315" i="2"/>
  <c r="J315" i="2"/>
  <c r="M425" i="2"/>
  <c r="J428" i="2"/>
  <c r="J99" i="2"/>
  <c r="H177" i="2"/>
  <c r="H179" i="2"/>
  <c r="H176" i="2"/>
  <c r="P176" i="2" s="1"/>
  <c r="P254" i="2"/>
  <c r="J254" i="2"/>
  <c r="J137" i="2"/>
  <c r="J25" i="2"/>
  <c r="J110" i="2"/>
  <c r="J122" i="2"/>
  <c r="H155" i="2"/>
  <c r="P154" i="2"/>
  <c r="H157" i="2"/>
  <c r="L154" i="2"/>
  <c r="J182" i="2"/>
  <c r="P22" i="2"/>
  <c r="H178" i="2"/>
  <c r="L427" i="2"/>
  <c r="M427" i="2" s="1"/>
  <c r="M426" i="2"/>
  <c r="J33" i="2"/>
  <c r="J39" i="2"/>
  <c r="P71" i="2"/>
  <c r="J71" i="2"/>
  <c r="J85" i="2"/>
  <c r="J107" i="2"/>
  <c r="J119" i="2"/>
  <c r="P146" i="2"/>
  <c r="J146" i="2"/>
  <c r="P172" i="2"/>
  <c r="P37" i="2"/>
  <c r="J37" i="2"/>
  <c r="P46" i="2"/>
  <c r="J46" i="2"/>
  <c r="J102" i="2"/>
  <c r="J133" i="2"/>
  <c r="L175" i="2"/>
  <c r="P32" i="2"/>
  <c r="P79" i="2"/>
  <c r="J79" i="2"/>
  <c r="J93" i="2"/>
  <c r="J43" i="2"/>
  <c r="P61" i="2"/>
  <c r="J61" i="2"/>
  <c r="H156" i="2"/>
  <c r="J166" i="2"/>
  <c r="P198" i="2"/>
  <c r="J198" i="2"/>
  <c r="P49" i="2"/>
  <c r="J49" i="2"/>
  <c r="P58" i="2"/>
  <c r="J58" i="2"/>
  <c r="H95" i="2"/>
  <c r="H92" i="2"/>
  <c r="H94" i="2"/>
  <c r="H91" i="2"/>
  <c r="P131" i="2"/>
  <c r="J131" i="2"/>
  <c r="J163" i="2"/>
  <c r="P173" i="2"/>
  <c r="J173" i="2"/>
  <c r="P224" i="2"/>
  <c r="P257" i="2"/>
  <c r="L257" i="2"/>
  <c r="P285" i="2"/>
  <c r="P297" i="2"/>
  <c r="J297" i="2"/>
  <c r="H313" i="2"/>
  <c r="P312" i="2"/>
  <c r="P309" i="2"/>
  <c r="J309" i="2"/>
  <c r="J358" i="2"/>
  <c r="P358" i="2"/>
  <c r="H162" i="2"/>
  <c r="H161" i="2"/>
  <c r="P88" i="2"/>
  <c r="J88" i="2"/>
  <c r="P160" i="2"/>
  <c r="L397" i="2"/>
  <c r="M397" i="2" s="1"/>
  <c r="M396" i="2"/>
  <c r="J67" i="2"/>
  <c r="H78" i="2"/>
  <c r="H80" i="2"/>
  <c r="H77" i="2"/>
  <c r="P76" i="2"/>
  <c r="L90" i="2"/>
  <c r="P192" i="2"/>
  <c r="J192" i="2"/>
  <c r="H219" i="2"/>
  <c r="H218" i="2"/>
  <c r="P217" i="2"/>
  <c r="H220" i="2"/>
  <c r="L217" i="2"/>
  <c r="M395" i="2"/>
  <c r="L410" i="2"/>
  <c r="J445" i="2"/>
  <c r="P445" i="2"/>
  <c r="H241" i="2"/>
  <c r="J208" i="2"/>
  <c r="H223" i="2"/>
  <c r="J231" i="2"/>
  <c r="J245" i="2"/>
  <c r="J268" i="2"/>
  <c r="J286" i="2"/>
  <c r="J292" i="2"/>
  <c r="J440" i="2"/>
  <c r="J446" i="2"/>
  <c r="H34" i="2"/>
  <c r="J40" i="2"/>
  <c r="J52" i="2"/>
  <c r="J100" i="2"/>
  <c r="J108" i="2"/>
  <c r="J111" i="2"/>
  <c r="J149" i="2"/>
  <c r="H152" i="2"/>
  <c r="H167" i="2"/>
  <c r="J215" i="2"/>
  <c r="J228" i="2"/>
  <c r="P231" i="2"/>
  <c r="H239" i="2"/>
  <c r="L347" i="2"/>
  <c r="L361" i="2" s="1"/>
  <c r="J409" i="2"/>
  <c r="P31" i="2"/>
  <c r="J44" i="2"/>
  <c r="J56" i="2"/>
  <c r="P350" i="2"/>
  <c r="L438" i="2"/>
  <c r="L448" i="2" s="1"/>
  <c r="J441" i="2"/>
  <c r="H165" i="2"/>
  <c r="P165" i="2" s="1"/>
  <c r="P221" i="2"/>
  <c r="J296" i="2"/>
  <c r="J308" i="2"/>
  <c r="J314" i="2"/>
  <c r="J348" i="2"/>
  <c r="J162" i="2" l="1"/>
  <c r="P162" i="2"/>
  <c r="J219" i="2"/>
  <c r="P219" i="2"/>
  <c r="L449" i="2"/>
  <c r="M449" i="2" s="1"/>
  <c r="M448" i="2"/>
  <c r="L360" i="2"/>
  <c r="J92" i="2"/>
  <c r="P92" i="2"/>
  <c r="P157" i="2"/>
  <c r="J157" i="2"/>
  <c r="P34" i="2"/>
  <c r="J34" i="2"/>
  <c r="L331" i="2" s="1"/>
  <c r="J95" i="2"/>
  <c r="P95" i="2"/>
  <c r="P156" i="2"/>
  <c r="J156" i="2"/>
  <c r="P218" i="2"/>
  <c r="J218" i="2"/>
  <c r="P178" i="2"/>
  <c r="J178" i="2"/>
  <c r="J413" i="2"/>
  <c r="M410" i="2"/>
  <c r="P91" i="2"/>
  <c r="J91" i="2"/>
  <c r="J429" i="2"/>
  <c r="L430" i="2" s="1"/>
  <c r="J398" i="2"/>
  <c r="P220" i="2"/>
  <c r="J220" i="2"/>
  <c r="P77" i="2"/>
  <c r="J77" i="2"/>
  <c r="P313" i="2"/>
  <c r="J313" i="2"/>
  <c r="P155" i="2"/>
  <c r="J155" i="2"/>
  <c r="P179" i="2"/>
  <c r="J179" i="2"/>
  <c r="L362" i="2"/>
  <c r="M362" i="2" s="1"/>
  <c r="M361" i="2"/>
  <c r="P78" i="2"/>
  <c r="J78" i="2"/>
  <c r="P239" i="2"/>
  <c r="J239" i="2"/>
  <c r="L333" i="2"/>
  <c r="M333" i="2" s="1"/>
  <c r="M332" i="2"/>
  <c r="P94" i="2"/>
  <c r="J94" i="2"/>
  <c r="P167" i="2"/>
  <c r="J167" i="2"/>
  <c r="P223" i="2"/>
  <c r="J223" i="2"/>
  <c r="P152" i="2"/>
  <c r="J152" i="2"/>
  <c r="L447" i="2"/>
  <c r="P241" i="2"/>
  <c r="J241" i="2"/>
  <c r="P80" i="2"/>
  <c r="J80" i="2"/>
  <c r="P161" i="2"/>
  <c r="J161" i="2"/>
  <c r="P177" i="2"/>
  <c r="J177" i="2"/>
  <c r="J334" i="2" l="1"/>
  <c r="M331" i="2"/>
  <c r="N341" i="2" s="1"/>
  <c r="J363" i="2"/>
  <c r="M360" i="2"/>
  <c r="L370" i="2" s="1"/>
  <c r="J450" i="2"/>
  <c r="M447" i="2"/>
  <c r="J414" i="2"/>
  <c r="L415" i="2" s="1"/>
  <c r="J399" i="2"/>
  <c r="L400" i="2" s="1"/>
  <c r="P418" i="2"/>
  <c r="J451" i="2" l="1"/>
  <c r="L452" i="2" s="1"/>
  <c r="J364" i="2"/>
  <c r="L365" i="2"/>
  <c r="J335" i="2"/>
  <c r="L336" i="2" s="1"/>
  <c r="B31" i="1" l="1"/>
  <c r="B12" i="1"/>
  <c r="B45" i="1" s="1"/>
  <c r="B46" i="1" l="1"/>
  <c r="B47" i="1" s="1"/>
</calcChain>
</file>

<file path=xl/sharedStrings.xml><?xml version="1.0" encoding="utf-8"?>
<sst xmlns="http://schemas.openxmlformats.org/spreadsheetml/2006/main" count="928" uniqueCount="337">
  <si>
    <t>Роботи</t>
  </si>
  <si>
    <t>Материали</t>
  </si>
  <si>
    <t>інші витрати</t>
  </si>
  <si>
    <t>Прямые переменные расходы:</t>
  </si>
  <si>
    <t>матеріали</t>
  </si>
  <si>
    <t>ЗАРОБІТНЯ ПЛАТА (робочі)</t>
  </si>
  <si>
    <t>Прямые переменно-постоянные расходы:</t>
  </si>
  <si>
    <t>розхідні матеріали</t>
  </si>
  <si>
    <t>інструмент</t>
  </si>
  <si>
    <t>Монтаж люльки</t>
  </si>
  <si>
    <t>аренда спецтехніки (крани, трактор,погрузчик)</t>
  </si>
  <si>
    <t>прямі транспортні витрати (перевоз люлек)</t>
  </si>
  <si>
    <t>розгрузка/погрузка</t>
  </si>
  <si>
    <t>вивіз сміття</t>
  </si>
  <si>
    <t>облаштування майданчика(склади...)</t>
  </si>
  <si>
    <t>аренда битовок господарських, МТК</t>
  </si>
  <si>
    <t>Різноробочий</t>
  </si>
  <si>
    <t>технагляд/проект</t>
  </si>
  <si>
    <t>оренда /ремонт люльки</t>
  </si>
  <si>
    <t>Непередбачувані витрати</t>
  </si>
  <si>
    <t>Люльки</t>
  </si>
  <si>
    <t>Оренда риштувань, люльок</t>
  </si>
  <si>
    <t>витрати на охорону праці</t>
  </si>
  <si>
    <t>клінінг</t>
  </si>
  <si>
    <t>%</t>
  </si>
  <si>
    <t>Накладные  расходы:</t>
  </si>
  <si>
    <t>бонуси керівникам проекту 10% від ВП</t>
  </si>
  <si>
    <t xml:space="preserve">представницькі послуги </t>
  </si>
  <si>
    <t>дивіденди</t>
  </si>
  <si>
    <t>Непрямі витрати:</t>
  </si>
  <si>
    <t>Постоянная часть ЗП общепроизводственного персонала</t>
  </si>
  <si>
    <t>Постоянная часть ЗП прорабов</t>
  </si>
  <si>
    <t>ГСМ для служебного транспорта (комерческие расходы, тендера)</t>
  </si>
  <si>
    <t>Ремонт оборудования або покупка</t>
  </si>
  <si>
    <t>Расходы на аренду грузового наемного транспорта</t>
  </si>
  <si>
    <t>Техобслуживание и текущий ремонт производственного автотранспорта</t>
  </si>
  <si>
    <t>Приобритение малоценных и быстро изнашивающихся материальных активов 
(Покупка расходников и мелкого инструмента для ремонта)</t>
  </si>
  <si>
    <t>Охрана труда</t>
  </si>
  <si>
    <t>Участие в тендерных закупках</t>
  </si>
  <si>
    <t>РАЗОМ ПОВНА СОБІВАРТІСТЬ:</t>
  </si>
  <si>
    <t>ВАЛОВИЙ ПРИБУТОК</t>
  </si>
  <si>
    <t xml:space="preserve">ВАЛОВА  РЕНТАБЕЛЬНІСТЬ  , % </t>
  </si>
  <si>
    <t>Витрати</t>
  </si>
  <si>
    <r>
      <t xml:space="preserve">Генпідрядник    </t>
    </r>
    <r>
      <rPr>
        <u/>
        <sz val="12"/>
        <color indexed="8"/>
        <rFont val="Cambria"/>
        <family val="1"/>
        <charset val="204"/>
      </rPr>
      <t xml:space="preserve">_____________________________________ </t>
    </r>
    <r>
      <rPr>
        <sz val="12"/>
        <color indexed="8"/>
        <rFont val="Cambria"/>
        <family val="1"/>
        <charset val="204"/>
      </rPr>
      <t xml:space="preserve">  </t>
    </r>
  </si>
  <si>
    <t>(назва  організації)</t>
  </si>
  <si>
    <r>
      <t xml:space="preserve">Підрядник    </t>
    </r>
    <r>
      <rPr>
        <u/>
        <sz val="12"/>
        <color indexed="8"/>
        <rFont val="Cambria"/>
        <family val="1"/>
        <charset val="204"/>
      </rPr>
      <t>ТОВ "АРМАБУД ЛТД КОМПАНІ"</t>
    </r>
    <r>
      <rPr>
        <sz val="12"/>
        <color indexed="8"/>
        <rFont val="Cambria"/>
        <family val="1"/>
        <charset val="204"/>
      </rPr>
      <t xml:space="preserve">  </t>
    </r>
  </si>
  <si>
    <t>ДОГОВІРНА ЦІНА</t>
  </si>
  <si>
    <t xml:space="preserve"> Найменування будови та її адреса - Реконструкція громадської будівлі під багатоквартирний житловий будинок з об'єктами торговорозважальної інфраструктури на нове будівництво багатоквартирних житлових будинків з обєктами торгово-розважальної інфраструктури, підземними паркінгами, автостоянками та іншими об'єктами громадської забудови за адресою м. Кропивницький, вул. Яновського, 65/52.  ІІ Черга будівництва. 2 пусковий комплекс. Житловий будинок №4</t>
  </si>
  <si>
    <t xml:space="preserve">Оздоблення фасаду </t>
  </si>
  <si>
    <t>№
п / п</t>
  </si>
  <si>
    <t>Найменування робіт і витрат</t>
  </si>
  <si>
    <t>Од.
виміру</t>
  </si>
  <si>
    <t>Норма витрат</t>
  </si>
  <si>
    <t>Кількість</t>
  </si>
  <si>
    <t>Ціна матеріалів грн без ПДВ</t>
  </si>
  <si>
    <t xml:space="preserve">Вартість матеріалів грн. без ПДВ </t>
  </si>
  <si>
    <t>Ціна за одиницю, грн без ПДВ</t>
  </si>
  <si>
    <t>Всього, грн. без ПДВ</t>
  </si>
  <si>
    <t>Цоколь</t>
  </si>
  <si>
    <t>Зовнішні стіни</t>
  </si>
  <si>
    <t>Утеплення</t>
  </si>
  <si>
    <t>1</t>
  </si>
  <si>
    <t>Наклеювання утеплювача мінватою 150мм з знепиленням основи (стіни)</t>
  </si>
  <si>
    <t>м2</t>
  </si>
  <si>
    <t>Плити мінераловатні Техноніколь 150 мм</t>
  </si>
  <si>
    <t>301/10 Ґрунтовка глибокого проникнення (10 л)</t>
  </si>
  <si>
    <t>л</t>
  </si>
  <si>
    <t>TF21 Клей для приклеювання мінераловатних та пінополістирольних плит</t>
  </si>
  <si>
    <t>кг</t>
  </si>
  <si>
    <t>Дюбель фасадний з металевим цвяхом та термоголовкою 10х260</t>
  </si>
  <si>
    <t>шт</t>
  </si>
  <si>
    <t>2</t>
  </si>
  <si>
    <t>Наклеювання утеплювача ЕППС 150мм з знепиленням основи (стіни)</t>
  </si>
  <si>
    <t>Плити ЕППС 150 мм</t>
  </si>
  <si>
    <t>3</t>
  </si>
  <si>
    <t>Армування поверхні в два шари (холодна перетяжка)</t>
  </si>
  <si>
    <t>Клей для приклеювання та армування мінераловатних та пінополістирольних плит</t>
  </si>
  <si>
    <t>Сітка скловолоконна Armofas біла  160 гр 50 м.кв</t>
  </si>
  <si>
    <t>Склосітка фасадна армуюча  - густина 340 гр/м2</t>
  </si>
  <si>
    <t>Облицювання поверхні клінкерною цеглою</t>
  </si>
  <si>
    <t>Облицювання поверхонь клінкерною цеглою (стіни)</t>
  </si>
  <si>
    <t>Грунтуюча суміш</t>
  </si>
  <si>
    <t>Клей для плитки</t>
  </si>
  <si>
    <t>Затирка для швів</t>
  </si>
  <si>
    <t>Клінкерна цегла</t>
  </si>
  <si>
    <t>Відкоси (клінкерна цегла)</t>
  </si>
  <si>
    <t>Армування поверхні в два шари (відкоси 200мм - 803 пм)</t>
  </si>
  <si>
    <t xml:space="preserve">Пластиковий (примикаючий) профіль з склосіткою для віконних та дверних укосів THERMOMASTER W-Prof </t>
  </si>
  <si>
    <t>м.п.</t>
  </si>
  <si>
    <t>Кутик ПВХ 10x15mm/ 1шт.- 2,6м. Thermomaster</t>
  </si>
  <si>
    <t>Облицювання поверхонь клінкерною цеглою (укоси) (відкоси 200мм= 803 п.м.)</t>
  </si>
  <si>
    <t>Приямки</t>
  </si>
  <si>
    <t>Армування поверхні в два шари (відкоси 200мм - 10,95 пм)</t>
  </si>
  <si>
    <t>Облицювання поверхонь клінкерною цеглою (укоси) (відкоси 200мм= 10,95 п.м.)</t>
  </si>
  <si>
    <t>Облицювання поверхні керамічною плиткою</t>
  </si>
  <si>
    <t>Наклеювання утеплювача ЕППС 50мм з знепиленням основи (стіни)</t>
  </si>
  <si>
    <t>Плити ЕППС 50 мм</t>
  </si>
  <si>
    <t>Дюбель фасадний з металевим цвяхом та термоголовкою 10х120</t>
  </si>
  <si>
    <t>Армування поверхні в один шар (холодна перетяжка)</t>
  </si>
  <si>
    <t>Склосітка фасадна армуюча  - густина 160 гр/м2</t>
  </si>
  <si>
    <t>Облицювання поверхонь керамічною плиткою</t>
  </si>
  <si>
    <t>Плитка керамогранітна Slate Grey F PC 600*1200 R Sugar 1</t>
  </si>
  <si>
    <t xml:space="preserve">Кольоровий силіконовий герметик для герметізації швів по периметру, 310мл </t>
  </si>
  <si>
    <t>Затірка для швів  керамічних плит</t>
  </si>
  <si>
    <t>Комплекс проектних робіт по влаштуванню НВФ з АКП</t>
  </si>
  <si>
    <t>Монтаж кронштейнів (згідно площі АКП)</t>
  </si>
  <si>
    <t>Кронштейн опорний 210x80x40 Bark-S BS K21.8</t>
  </si>
  <si>
    <t>Кронштейн несучий 210x120x40 Bark-S BS K21.12</t>
  </si>
  <si>
    <t>Кронштейн опорний 80x80x40 Bark-S BS K8.8</t>
  </si>
  <si>
    <t>Кронштейн несучий 240x120x40 Bark-S BS K24.12</t>
  </si>
  <si>
    <t>Кронштейн опорний 240x80x40 Bark-S BS K24.8</t>
  </si>
  <si>
    <t>Кронштейн несучий 180x120x40 Bark-S BS K18.12</t>
  </si>
  <si>
    <t>Кронштейн опорний 180x80x40 Bark-S BS K18.8</t>
  </si>
  <si>
    <t>Кронштейн опорний 60x60x40 Bark-S BS K6.6</t>
  </si>
  <si>
    <t>Терморозрив 80x50 Bark-S BS TR8.5</t>
  </si>
  <si>
    <t>Терморозрив 140x50 Bark-S BS TR14.5</t>
  </si>
  <si>
    <t>Дюбель фасадний 10х100 з шесигранною головкою</t>
  </si>
  <si>
    <t>Наклеювання утеплювача ЕППС 50мм з знепиленням основи (торці)</t>
  </si>
  <si>
    <t>Клей-піна 750 мл</t>
  </si>
  <si>
    <t>Монтаж утеплювача (1-й шар) (згідно площі АКП)</t>
  </si>
  <si>
    <t>Плита мінераловатна 100 мм, щільність ≥ 80кг/м3 ДСТУ Б В.2.7-167:2008</t>
  </si>
  <si>
    <t>Дюбель тарілчастий Ф10х180 (з металевим стрижнем)</t>
  </si>
  <si>
    <t>4</t>
  </si>
  <si>
    <t>Монтаж утеплювача (2-й шар) (згідно площі АКП)</t>
  </si>
  <si>
    <t>Плита мінераловатна 50 мм, щільність ≥ 35кг/м3 ДСТУ Б В.2.7-167:2008</t>
  </si>
  <si>
    <t>5</t>
  </si>
  <si>
    <t>Виготовлення  каркасу (згідно площі АКП)</t>
  </si>
  <si>
    <t>Кутник 45x45x2 RAL 9005 (довжина заготовки 6000мм)</t>
  </si>
  <si>
    <t>Саморіз 3,9х25 (кріплення кутників касет)</t>
  </si>
  <si>
    <t>Гвинт 3,9х19 А2 апот.гол.</t>
  </si>
  <si>
    <t>Кутник кріпильний для касет RAL 9005</t>
  </si>
  <si>
    <t>6</t>
  </si>
  <si>
    <t>Виготовлення та монтаж касет АКП</t>
  </si>
  <si>
    <t>Лист АКП SUNSET TEAK</t>
  </si>
  <si>
    <t>Лист АКП QUARTZ GREY</t>
  </si>
  <si>
    <t>Профіль примикання алюмінієвий F-подібний RAL 8024 BS F4 (довжина заготовки 6000мм)</t>
  </si>
  <si>
    <t>Профіль примикання алюмінієвий F-подібний RAL7039 BS F4 (довжина заготовки 6000мм)</t>
  </si>
  <si>
    <t>Заклепка 4,8х12 А2/А2 (нерж./нерж.)</t>
  </si>
  <si>
    <t>Вентшахти</t>
  </si>
  <si>
    <t>Наклеювання утеплювача мінватою 100мм з знепиленням основи (стіни)</t>
  </si>
  <si>
    <t>Плити мінераловатні Техноніколь 100 мм</t>
  </si>
  <si>
    <t>Дюбель фасадний з металевим цвяхом та термоголовкою 10х200</t>
  </si>
  <si>
    <t>Наклеювання утеплювача ЕППС 100мм з знепиленням основи (стіни)</t>
  </si>
  <si>
    <t>Плити ЕППС 100 мм</t>
  </si>
  <si>
    <t>Дюбель фасадний з металевим цвяхом та термоголовкою 10х180</t>
  </si>
  <si>
    <t>TF22 Клей для приклеювання та армування мінераловатних та пінополістирольних плит</t>
  </si>
  <si>
    <t>Склосітка фасадна армуюча з логотипом KREISEL - густина 160 гр/м2, 50м х 1,10м</t>
  </si>
  <si>
    <t>Нанесення декоративної штукатурки з грунтуванням RAL</t>
  </si>
  <si>
    <t>330/25 Кварцґрунт універсальний (25 кг)</t>
  </si>
  <si>
    <t>031/1 Штукатурка фасадна Силіконова "Баранець" 1,5
RAL</t>
  </si>
  <si>
    <t>Малярна стрічка</t>
  </si>
  <si>
    <t>Укоси веншахт</t>
  </si>
  <si>
    <t>Армування поверхні в один шар (укоси)</t>
  </si>
  <si>
    <t>Укоси поясів</t>
  </si>
  <si>
    <t>Накривки веншахт - ФЛЮГАРКИ</t>
  </si>
  <si>
    <t>Влаштування металевих накривок вентшахт ФЛ1</t>
  </si>
  <si>
    <t>Флюгарка ФЛ1 870х3140+сітка</t>
  </si>
  <si>
    <t>Влаштування металевих накривок вентшахт ФЛ2</t>
  </si>
  <si>
    <t>Флюгарка ФЛ2 870х2360+сітка</t>
  </si>
  <si>
    <t>Влаштування металевих накривок вентшахт ФЛ3</t>
  </si>
  <si>
    <t>Флюгарка ФЛ3 800х4840+сітка</t>
  </si>
  <si>
    <t>Влаштування металевих накривок вентшахт ФЛ4</t>
  </si>
  <si>
    <t>Флюгарка ФЛ4 800х1710+сітка</t>
  </si>
  <si>
    <t>Влаштування металевих накривок вентшахт ФЛ5</t>
  </si>
  <si>
    <t>Флюгарка ФЛ5 800х2620+сітка</t>
  </si>
  <si>
    <t>Влаштування металевих накривок вентшахт ФЛ6</t>
  </si>
  <si>
    <t>Флюгарка ФЛ6 800х1500+сітка</t>
  </si>
  <si>
    <t>7</t>
  </si>
  <si>
    <t>Влаштування металевих накривок вентшахт ФЛ7</t>
  </si>
  <si>
    <t>Флюгарка ФЛ7 1000х1000+сітка</t>
  </si>
  <si>
    <t>8</t>
  </si>
  <si>
    <t>Влаштування металевих накривок вентшахт ФЛ8</t>
  </si>
  <si>
    <t>Флюгарка ФЛ8 800х2980+сітка</t>
  </si>
  <si>
    <t>9</t>
  </si>
  <si>
    <t>Влаштування металевих накривок вентшахт ФЛ9</t>
  </si>
  <si>
    <t>Флюгарка ФЛ9 800х2590+сітка</t>
  </si>
  <si>
    <t>10</t>
  </si>
  <si>
    <t>Влаштування металевих накривок вентшахт ФЛ10</t>
  </si>
  <si>
    <t>Флюгарка ФЛ10 800х3140+сітка</t>
  </si>
  <si>
    <t>11</t>
  </si>
  <si>
    <t>Влаштування металевих накривок вентшахт ФЛ11</t>
  </si>
  <si>
    <t>Флюгарка ФЛ11 900х3240+сітка</t>
  </si>
  <si>
    <t>12</t>
  </si>
  <si>
    <t>Влаштування металевих накривок вентшахт ФЛ12</t>
  </si>
  <si>
    <t>Флюгарка ФЛ12 900х1700+сітка</t>
  </si>
  <si>
    <t>13</t>
  </si>
  <si>
    <t>Влаштування металевих накривок вентшахт ФЛ13</t>
  </si>
  <si>
    <t>Флюгарка ФЛ13 900х2200+сітка</t>
  </si>
  <si>
    <t>14</t>
  </si>
  <si>
    <t>Влаштування металевих накривок вентшахт ФЛ14</t>
  </si>
  <si>
    <t>Флюгарка ФЛ14 800х3140+сітка</t>
  </si>
  <si>
    <t>15</t>
  </si>
  <si>
    <t>Влаштування металевих накривок вентшахт ФЛ15</t>
  </si>
  <si>
    <t>Флюгарка ФЛ15 800х1810+сітка</t>
  </si>
  <si>
    <t>Стелі балконів</t>
  </si>
  <si>
    <t xml:space="preserve">Наклеювання утеплювача мінватою 50мм з знепиленням основи </t>
  </si>
  <si>
    <t>Плити мінераловатні Техноніколь 50 мм</t>
  </si>
  <si>
    <t>Декоративна штукатурка "імітація під дерево"</t>
  </si>
  <si>
    <t xml:space="preserve">Огородження зі скла </t>
  </si>
  <si>
    <t>Влаштування огородження зі скла</t>
  </si>
  <si>
    <t>Конструкціі алюміній</t>
  </si>
  <si>
    <t>Триплекс загартований 10+10 прозорий 1 кв.</t>
  </si>
  <si>
    <t>Дренажна система К13</t>
  </si>
  <si>
    <t xml:space="preserve">Монтаж стояків дренажної системи </t>
  </si>
  <si>
    <t>мп</t>
  </si>
  <si>
    <t>Труба каналізаційна поліпропіленова, діаметром 50 мм</t>
  </si>
  <si>
    <t>Труба каналізаційна поліпропіленова, діаметром 32 мм</t>
  </si>
  <si>
    <t>Муфта 50</t>
  </si>
  <si>
    <t>Муфта 32</t>
  </si>
  <si>
    <t>Редукція ПП 50х32</t>
  </si>
  <si>
    <t>Коліно ПП 32/87°</t>
  </si>
  <si>
    <t>Хрестовина ПП 50х50х50/90*</t>
  </si>
  <si>
    <t>Заглушка ПП 32</t>
  </si>
  <si>
    <t>Хомут з гайкою М8 1 1/2 (47-53мм) з віброгасителем</t>
  </si>
  <si>
    <t>Гвинт-шуруп 8*80</t>
  </si>
  <si>
    <t>Дюбель 10х60</t>
  </si>
  <si>
    <t>Фреоновиводи</t>
  </si>
  <si>
    <t>Сверлення  отворів кладці та утеплювачі для монтажу гільзи прохідної</t>
  </si>
  <si>
    <t>Монтаж труби д.63мм</t>
  </si>
  <si>
    <t>Труба ПВХ, діаметром 63мм PN10</t>
  </si>
  <si>
    <t>м</t>
  </si>
  <si>
    <t>Глушка 63 мм</t>
  </si>
  <si>
    <t>Піна монтажна 750мл</t>
  </si>
  <si>
    <t>Герметизація гільзи прохідної ПВХ в тілі АКП, ЛММ та кераміці</t>
  </si>
  <si>
    <t>Герметик DOW CORNING 791_600мм</t>
  </si>
  <si>
    <t>Блискавозахист</t>
  </si>
  <si>
    <t>Монтаж щогли активного блискавоприймача</t>
  </si>
  <si>
    <t>Блискавкоприймач трубч. під FangFix 4000 мм, алюм.</t>
  </si>
  <si>
    <t>Тримач блискавкоприймача 16 мм G</t>
  </si>
  <si>
    <t>Елемент відокремлювання 226 8-10/FL30 x 16 мм, гарячец.</t>
  </si>
  <si>
    <t>Монтаж блискавоприймача</t>
  </si>
  <si>
    <t>Струмоприймач G</t>
  </si>
  <si>
    <t>Монтаж тримачей та злучників</t>
  </si>
  <si>
    <t>Тримач для плаского даху 165 MBG-8-10, поліамід</t>
  </si>
  <si>
    <t>Тримач дроту 177 30 M8, поліамід</t>
  </si>
  <si>
    <t>Універсальна клема 324 S-FT FT (40-60 мкм)</t>
  </si>
  <si>
    <t>Хрестовий з'єднувач 256 A-DIN 30, гарячецинкований</t>
  </si>
  <si>
    <t>З'єднувач Vario 249 B 8-10 ST, гарячецинкований</t>
  </si>
  <si>
    <t>Прокладка провідника</t>
  </si>
  <si>
    <t>Провідник круглий 8 мм, бухта 125 м, гарячецинкований</t>
  </si>
  <si>
    <t>Прокладка провідника плаского</t>
  </si>
  <si>
    <t>Провідник плаский, 30х3,5 мм, бухта 30 м, гарячец.</t>
  </si>
  <si>
    <t>Ізоляція провідника плаского в місці входу в землю</t>
  </si>
  <si>
    <t>Антикорозійний бандаж пластичний 50 мм, 10 м</t>
  </si>
  <si>
    <t>Монтаж комплекта стержневого уземлювача</t>
  </si>
  <si>
    <t>Елемент відокремлювання 233 A VA, нержавіюча сталь</t>
  </si>
  <si>
    <t>Тримач провода плаского 30mm з отвором 6,5 мм, гарячец.</t>
  </si>
  <si>
    <t>Стрижень уземлення 219 20 ST FT, 1,5 м, 20 мм, 130 мкм</t>
  </si>
  <si>
    <t>Наконечник уземлювача ST, BP, 20 мм</t>
  </si>
  <si>
    <t>З'єднувач Rd 8-10/FL40 мм до шпильки заземлення 20 мм</t>
  </si>
  <si>
    <t>Корпус для контрольного фасадного з'єднання</t>
  </si>
  <si>
    <t>Переірка конструктивного виконання блискавко захисту та заземлення</t>
  </si>
  <si>
    <t>Переірка наявності кола: блискавоприймач-провід, провід-смуга, смуга-уземлювач</t>
  </si>
  <si>
    <t>Вимірювання опору заземлювачів</t>
  </si>
  <si>
    <t>Накривки , відкоси ,відливи</t>
  </si>
  <si>
    <t>Наклеювання утеплювача ЕППС 50мм з знепиленням основи (парапет)</t>
  </si>
  <si>
    <t>Виготовлення та монтаж парапетних накривок</t>
  </si>
  <si>
    <t>Парапетна накривка 720 мм (розгортка 1100 мм)</t>
  </si>
  <si>
    <t>Дюбель д-100х10</t>
  </si>
  <si>
    <t>Полоса 40х4</t>
  </si>
  <si>
    <t>Герметик 280мл</t>
  </si>
  <si>
    <t>Виготовлення та монтаж парапетних накривок з АКП</t>
  </si>
  <si>
    <t>Кронштейн опорний 120x100x40 Bark-S BS K12.10</t>
  </si>
  <si>
    <t>Кутник 45x45x2 (довжина заготовки 6000мм)</t>
  </si>
  <si>
    <t>Виготовлення та монтаж парапетних накривок з АКП (пояс лоджії)</t>
  </si>
  <si>
    <t>Виготовлення та монтаж відкосів з АКП</t>
  </si>
  <si>
    <t>Виготовлення та монтаж віконних відливів з АКП (5 поверх)</t>
  </si>
  <si>
    <t>Виготовлення та монтаж відливів з АКП (над поясами)</t>
  </si>
  <si>
    <t>Виготовлення та монтаж віконних відливів</t>
  </si>
  <si>
    <t>Відлив 200 (розгортка 270)</t>
  </si>
  <si>
    <t>Відлив 250 (розгортка 320)</t>
  </si>
  <si>
    <t>Відлив 350 (вентканал)</t>
  </si>
  <si>
    <t>Саморіз  для відлива 210 мм</t>
  </si>
  <si>
    <t>Монтаж корзин під кондиціонери</t>
  </si>
  <si>
    <t>Декоративні корзини під кондиціонери RAL 7024</t>
  </si>
  <si>
    <t>Робоча документація (вентфасад)</t>
  </si>
  <si>
    <t>Вартість матеріалів</t>
  </si>
  <si>
    <t>Вартість робіт</t>
  </si>
  <si>
    <t>Інші витрати</t>
  </si>
  <si>
    <t>Всього без ПДВ</t>
  </si>
  <si>
    <t>ПДВ</t>
  </si>
  <si>
    <t>РАЗОМ З ПДВ</t>
  </si>
  <si>
    <t>матеріали з -10</t>
  </si>
  <si>
    <t>Зовнішнє водовідведення з балконів та лоджій К2</t>
  </si>
  <si>
    <t>Влаштування зовнішнього водостоку з ПВХ труби 110 мм</t>
  </si>
  <si>
    <t>Труба ПВХ 110 мм для зовнішньої каналізації BRYZA</t>
  </si>
  <si>
    <t>Труба ПВХ 50 мм для зовнішньої каналізації</t>
  </si>
  <si>
    <t>Хомут з гайкою М8 для кріплення труб 110 з шпилькою та віброгасителем</t>
  </si>
  <si>
    <t>Муфта для труб ПВХ 110 мм BRYZA</t>
  </si>
  <si>
    <t>Нагрівальний кабель одножильний Hemstedt BR-IM-Z 17 ВТ/м 700ВТ 40,6 м</t>
  </si>
  <si>
    <t>компл</t>
  </si>
  <si>
    <t>Кріплення для нагрівання в трубах алюмінієве</t>
  </si>
  <si>
    <t>Хомут металевий для труб, одинарний 6/4 з ущільнювачем, гвинтом та дюбелем</t>
  </si>
  <si>
    <t>Монтажна стрічка 25м</t>
  </si>
  <si>
    <t>Монтаж трапу для водовідведення</t>
  </si>
  <si>
    <t xml:space="preserve">Трап для балконів та терас DN40/50 горизонтальний </t>
  </si>
  <si>
    <t>Трійник ПВХ 110х50 мм</t>
  </si>
  <si>
    <t>Дюбель 60х40</t>
  </si>
  <si>
    <t>мат. З -10%</t>
  </si>
  <si>
    <t>№ п/п</t>
  </si>
  <si>
    <t>Найменування робіт</t>
  </si>
  <si>
    <t>Од. вим.</t>
  </si>
  <si>
    <t>Вартість одиниці, грн. з ПДВ</t>
  </si>
  <si>
    <t>Всього, грн.</t>
  </si>
  <si>
    <t>Найменування матеріалів</t>
  </si>
  <si>
    <t>Витрати на од. робіт</t>
  </si>
  <si>
    <t>К-сть матер. на вказаний об'єм</t>
  </si>
  <si>
    <t>Всього вартість матеріалів, грн.</t>
  </si>
  <si>
    <t>1. Перила ОП-1;ОП-2</t>
  </si>
  <si>
    <t>Виготовлення включаючи порошкове фарбування</t>
  </si>
  <si>
    <t>м.п</t>
  </si>
  <si>
    <t>Труба 40х40х3 мм</t>
  </si>
  <si>
    <t>Монтаж</t>
  </si>
  <si>
    <t>Полоса 40х5 мм</t>
  </si>
  <si>
    <t>Металовиріб 170х170х8 мм</t>
  </si>
  <si>
    <t>шт.</t>
  </si>
  <si>
    <t>Анкер 10*100</t>
  </si>
  <si>
    <t>Загальновиробничі витрати</t>
  </si>
  <si>
    <t>посл.</t>
  </si>
  <si>
    <t>Разом вартість робіт:</t>
  </si>
  <si>
    <t>Разом вартість матеріалів:</t>
  </si>
  <si>
    <t>Разом робіт:</t>
  </si>
  <si>
    <t>Всього разом матеріалів :</t>
  </si>
  <si>
    <t>Всього разом :</t>
  </si>
  <si>
    <t>Лоджії</t>
  </si>
  <si>
    <t>Наклеювання утеплювача ЕППС 20 мм з знепиленням основи (підлога лоджій)</t>
  </si>
  <si>
    <t>Плити ЕППС 20 мм</t>
  </si>
  <si>
    <t>Поліуретанова клей-піна</t>
  </si>
  <si>
    <t>Додаткові роботи</t>
  </si>
  <si>
    <t>Утеплення фундаментів</t>
  </si>
  <si>
    <t>Наклеювання утеплювача ЕППС 100мм з знепиленням основи (стіни фундаментів)</t>
  </si>
  <si>
    <t>Наклеювання утеплювача ЕППС 50 мм з знепиленням основи (підлога лоджій ВХІДНА ГРУПА)</t>
  </si>
  <si>
    <t>Демонтаж клінкерної цегли</t>
  </si>
  <si>
    <t>ІТР</t>
  </si>
  <si>
    <t>ХП на готівку 12%</t>
  </si>
  <si>
    <t>Дохід ДЦ</t>
  </si>
  <si>
    <t>Бюджет обʼєкту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</si>
</sst>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[Red]\-#,##0\ "/>
    <numFmt numFmtId="165" formatCode="0.000"/>
    <numFmt numFmtId="166" formatCode="_-* #,##0.00\ _₴_-;\-* #,##0.00\ _₴_-;_-* &quot;-&quot;??\ _₴_-;_-@_-"/>
    <numFmt numFmtId="167" formatCode="_(* #,##0.00_);_(* \(#,##0.00\);_(* &quot;-&quot;??_);_(@_)"/>
    <numFmt numFmtId="168" formatCode="_(* #,##0_);_(* \(#,##0\);_(* &quot;-&quot;_);_(@_)"/>
  </numFmts>
  <fonts count="40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rgb="FF800000"/>
      <name val="Aptos Narrow"/>
      <family val="2"/>
      <charset val="204"/>
      <scheme val="minor"/>
    </font>
    <font>
      <u/>
      <sz val="11"/>
      <color theme="1"/>
      <name val="Aptos Narrow"/>
      <family val="2"/>
      <scheme val="minor"/>
    </font>
    <font>
      <b/>
      <sz val="9"/>
      <color rgb="FF800000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  <font>
      <b/>
      <sz val="11"/>
      <color theme="0" tint="-4.9989318521683403E-2"/>
      <name val="Aptos Narrow"/>
      <family val="2"/>
      <charset val="204"/>
      <scheme val="minor"/>
    </font>
    <font>
      <b/>
      <sz val="11"/>
      <color rgb="FF0000FF"/>
      <name val="Aptos Narrow"/>
      <family val="2"/>
      <scheme val="minor"/>
    </font>
    <font>
      <b/>
      <sz val="11"/>
      <color rgb="FF99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ahoma"/>
      <family val="2"/>
      <charset val="204"/>
    </font>
    <font>
      <sz val="14"/>
      <color indexed="8"/>
      <name val="Cambria"/>
      <family val="1"/>
      <charset val="204"/>
    </font>
    <font>
      <u/>
      <sz val="12"/>
      <color indexed="8"/>
      <name val="Cambria"/>
      <family val="1"/>
      <charset val="204"/>
    </font>
    <font>
      <sz val="12"/>
      <color indexed="8"/>
      <name val="Cambria"/>
      <family val="1"/>
      <charset val="204"/>
    </font>
    <font>
      <sz val="10"/>
      <name val="Cambria"/>
      <family val="1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8"/>
      <color indexed="8"/>
      <name val="Cambria"/>
      <family val="1"/>
      <charset val="204"/>
    </font>
    <font>
      <i/>
      <sz val="10"/>
      <color indexed="8"/>
      <name val="Cambria"/>
      <family val="1"/>
      <charset val="204"/>
    </font>
    <font>
      <sz val="14"/>
      <name val="Cambria"/>
      <family val="1"/>
      <charset val="204"/>
    </font>
    <font>
      <sz val="9"/>
      <name val="Cambria"/>
      <family val="1"/>
      <charset val="204"/>
    </font>
    <font>
      <sz val="14"/>
      <color theme="8" tint="0.39997558519241921"/>
      <name val="Cambria"/>
      <family val="1"/>
      <charset val="204"/>
    </font>
    <font>
      <b/>
      <sz val="14"/>
      <name val="Cambria"/>
      <family val="1"/>
      <charset val="204"/>
    </font>
    <font>
      <b/>
      <sz val="11"/>
      <name val="Cambria"/>
      <family val="1"/>
      <charset val="204"/>
    </font>
    <font>
      <b/>
      <i/>
      <u/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Cambria"/>
      <family val="1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color theme="4" tint="0.79998168889431442"/>
      <name val="Arial"/>
      <family val="2"/>
      <charset val="204"/>
    </font>
    <font>
      <b/>
      <sz val="12"/>
      <name val="Cambria"/>
      <family val="1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sz val="11"/>
      <color indexed="8"/>
      <name val="Arial"/>
      <family val="2"/>
      <charset val="204"/>
    </font>
    <font>
      <b/>
      <sz val="12"/>
      <name val="Arial Cyr"/>
      <charset val="204"/>
    </font>
    <font>
      <sz val="12"/>
      <name val="Arial"/>
      <family val="2"/>
      <charset val="204"/>
    </font>
    <font>
      <sz val="12"/>
      <name val="Arial Cyr"/>
      <charset val="204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50"/>
        <bgColor indexed="51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2" fillId="0" borderId="0">
      <alignment vertical="top"/>
    </xf>
    <xf numFmtId="0" fontId="17" fillId="0" borderId="0"/>
    <xf numFmtId="0" fontId="19" fillId="0" borderId="0"/>
    <xf numFmtId="43" fontId="19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239">
    <xf numFmtId="0" fontId="0" fillId="0" borderId="0" xfId="0"/>
    <xf numFmtId="0" fontId="6" fillId="3" borderId="1" xfId="2" applyFont="1" applyFill="1" applyBorder="1" applyAlignment="1">
      <alignment horizontal="center" wrapText="1"/>
    </xf>
    <xf numFmtId="0" fontId="7" fillId="0" borderId="1" xfId="2" applyFont="1" applyBorder="1" applyAlignment="1">
      <alignment horizontal="right" wrapText="1"/>
    </xf>
    <xf numFmtId="0" fontId="2" fillId="0" borderId="1" xfId="2" applyBorder="1"/>
    <xf numFmtId="9" fontId="2" fillId="0" borderId="1" xfId="2" applyNumberFormat="1" applyBorder="1"/>
    <xf numFmtId="0" fontId="8" fillId="4" borderId="1" xfId="2" applyFont="1" applyFill="1" applyBorder="1"/>
    <xf numFmtId="0" fontId="9" fillId="5" borderId="1" xfId="2" applyFont="1" applyFill="1" applyBorder="1"/>
    <xf numFmtId="0" fontId="10" fillId="5" borderId="1" xfId="2" applyFont="1" applyFill="1" applyBorder="1" applyAlignment="1">
      <alignment horizontal="left"/>
    </xf>
    <xf numFmtId="0" fontId="6" fillId="2" borderId="1" xfId="2" applyFont="1" applyFill="1" applyBorder="1"/>
    <xf numFmtId="164" fontId="11" fillId="0" borderId="1" xfId="2" applyNumberFormat="1" applyFont="1" applyBorder="1" applyAlignment="1" applyProtection="1">
      <alignment horizontal="left" vertical="center" wrapText="1"/>
      <protection locked="0"/>
    </xf>
    <xf numFmtId="0" fontId="2" fillId="0" borderId="0" xfId="2"/>
    <xf numFmtId="43" fontId="6" fillId="3" borderId="1" xfId="1" applyFont="1" applyFill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2" fillId="0" borderId="1" xfId="1" applyFont="1" applyBorder="1" applyAlignment="1">
      <alignment horizontal="right"/>
    </xf>
    <xf numFmtId="43" fontId="8" fillId="4" borderId="1" xfId="1" applyFont="1" applyFill="1" applyBorder="1" applyAlignment="1">
      <alignment horizontal="right"/>
    </xf>
    <xf numFmtId="43" fontId="6" fillId="2" borderId="1" xfId="1" applyFont="1" applyFill="1" applyBorder="1" applyAlignment="1">
      <alignment horizontal="right"/>
    </xf>
    <xf numFmtId="43" fontId="9" fillId="5" borderId="1" xfId="1" applyFont="1" applyFill="1" applyBorder="1" applyAlignment="1">
      <alignment horizontal="right"/>
    </xf>
    <xf numFmtId="43" fontId="10" fillId="5" borderId="1" xfId="1" applyFont="1" applyFill="1" applyBorder="1" applyAlignment="1">
      <alignment horizontal="right"/>
    </xf>
    <xf numFmtId="43" fontId="2" fillId="0" borderId="0" xfId="1" applyFont="1" applyAlignment="1">
      <alignment horizontal="right"/>
    </xf>
    <xf numFmtId="43" fontId="0" fillId="0" borderId="0" xfId="1" applyFont="1"/>
    <xf numFmtId="0" fontId="13" fillId="0" borderId="0" xfId="3" applyFont="1" applyAlignment="1">
      <alignment horizontal="left" vertical="center" wrapText="1"/>
    </xf>
    <xf numFmtId="0" fontId="15" fillId="6" borderId="0" xfId="3" applyFont="1" applyFill="1" applyAlignment="1">
      <alignment horizontal="left" vertical="center" wrapText="1"/>
    </xf>
    <xf numFmtId="4" fontId="16" fillId="6" borderId="0" xfId="3" applyNumberFormat="1" applyFont="1" applyFill="1" applyAlignment="1">
      <alignment vertical="center" wrapText="1"/>
    </xf>
    <xf numFmtId="0" fontId="16" fillId="0" borderId="0" xfId="3" applyFont="1" applyAlignment="1">
      <alignment horizontal="left" vertical="center" wrapText="1"/>
    </xf>
    <xf numFmtId="4" fontId="18" fillId="6" borderId="0" xfId="4" applyNumberFormat="1" applyFont="1" applyFill="1" applyAlignment="1">
      <alignment vertical="center"/>
    </xf>
    <xf numFmtId="0" fontId="19" fillId="0" borderId="0" xfId="5"/>
    <xf numFmtId="43" fontId="0" fillId="0" borderId="0" xfId="6" applyFont="1"/>
    <xf numFmtId="0" fontId="20" fillId="0" borderId="0" xfId="3" applyFont="1" applyAlignment="1">
      <alignment horizontal="left" vertical="center" wrapText="1"/>
    </xf>
    <xf numFmtId="0" fontId="21" fillId="6" borderId="0" xfId="3" applyFont="1" applyFill="1" applyAlignment="1">
      <alignment horizontal="center" vertical="center" wrapText="1"/>
    </xf>
    <xf numFmtId="4" fontId="16" fillId="6" borderId="0" xfId="3" applyNumberFormat="1" applyFont="1" applyFill="1" applyAlignment="1">
      <alignment horizontal="center" vertical="center" wrapText="1"/>
    </xf>
    <xf numFmtId="165" fontId="22" fillId="6" borderId="0" xfId="3" applyNumberFormat="1" applyFont="1" applyFill="1" applyAlignment="1">
      <alignment vertical="center" wrapText="1"/>
    </xf>
    <xf numFmtId="166" fontId="23" fillId="6" borderId="0" xfId="3" applyNumberFormat="1" applyFont="1" applyFill="1" applyAlignment="1">
      <alignment vertical="center" wrapText="1"/>
    </xf>
    <xf numFmtId="0" fontId="24" fillId="6" borderId="0" xfId="3" applyFont="1" applyFill="1" applyAlignment="1">
      <alignment horizontal="center" vertical="center" wrapText="1"/>
    </xf>
    <xf numFmtId="0" fontId="18" fillId="6" borderId="0" xfId="4" applyFont="1" applyFill="1" applyAlignment="1">
      <alignment vertical="center" wrapText="1"/>
    </xf>
    <xf numFmtId="0" fontId="18" fillId="6" borderId="0" xfId="4" applyFont="1" applyFill="1" applyAlignment="1">
      <alignment horizontal="left" vertical="center" wrapText="1"/>
    </xf>
    <xf numFmtId="49" fontId="25" fillId="0" borderId="0" xfId="3" applyNumberFormat="1" applyFont="1" applyAlignment="1">
      <alignment horizontal="center" vertical="center" wrapText="1"/>
    </xf>
    <xf numFmtId="49" fontId="26" fillId="0" borderId="0" xfId="3" applyNumberFormat="1" applyFont="1" applyAlignment="1">
      <alignment horizontal="center" vertical="center" wrapText="1"/>
    </xf>
    <xf numFmtId="4" fontId="26" fillId="0" borderId="0" xfId="3" applyNumberFormat="1" applyFont="1" applyAlignment="1">
      <alignment horizontal="center" vertical="center" wrapText="1"/>
    </xf>
    <xf numFmtId="0" fontId="26" fillId="0" borderId="3" xfId="3" applyFont="1" applyBorder="1" applyAlignment="1">
      <alignment horizontal="center" vertical="center" wrapText="1"/>
    </xf>
    <xf numFmtId="4" fontId="26" fillId="0" borderId="3" xfId="3" applyNumberFormat="1" applyFont="1" applyBorder="1" applyAlignment="1">
      <alignment horizontal="center" vertical="center" wrapText="1"/>
    </xf>
    <xf numFmtId="0" fontId="27" fillId="6" borderId="4" xfId="4" applyFont="1" applyFill="1" applyBorder="1" applyAlignment="1">
      <alignment horizontal="left" vertical="center" wrapText="1"/>
    </xf>
    <xf numFmtId="0" fontId="27" fillId="6" borderId="5" xfId="4" applyFont="1" applyFill="1" applyBorder="1" applyAlignment="1">
      <alignment horizontal="left" vertical="center" wrapText="1"/>
    </xf>
    <xf numFmtId="0" fontId="27" fillId="6" borderId="6" xfId="4" applyFont="1" applyFill="1" applyBorder="1" applyAlignment="1">
      <alignment horizontal="left" vertical="center" wrapText="1"/>
    </xf>
    <xf numFmtId="49" fontId="26" fillId="7" borderId="7" xfId="3" applyNumberFormat="1" applyFont="1" applyFill="1" applyBorder="1" applyAlignment="1">
      <alignment horizontal="center" vertical="center" wrapText="1"/>
    </xf>
    <xf numFmtId="0" fontId="26" fillId="7" borderId="8" xfId="3" applyFont="1" applyFill="1" applyBorder="1" applyAlignment="1">
      <alignment horizontal="center" vertical="center" wrapText="1"/>
    </xf>
    <xf numFmtId="4" fontId="26" fillId="7" borderId="8" xfId="3" applyNumberFormat="1" applyFont="1" applyFill="1" applyBorder="1" applyAlignment="1">
      <alignment horizontal="center" vertical="center" wrapText="1"/>
    </xf>
    <xf numFmtId="4" fontId="26" fillId="7" borderId="9" xfId="3" applyNumberFormat="1" applyFont="1" applyFill="1" applyBorder="1" applyAlignment="1">
      <alignment horizontal="center" vertical="center" wrapText="1"/>
    </xf>
    <xf numFmtId="165" fontId="26" fillId="7" borderId="8" xfId="3" applyNumberFormat="1" applyFont="1" applyFill="1" applyBorder="1" applyAlignment="1" applyProtection="1">
      <alignment horizontal="center" vertical="center" wrapText="1"/>
      <protection locked="0"/>
    </xf>
    <xf numFmtId="166" fontId="26" fillId="7" borderId="8" xfId="3" applyNumberFormat="1" applyFont="1" applyFill="1" applyBorder="1" applyAlignment="1" applyProtection="1">
      <alignment horizontal="center" vertical="center" wrapText="1"/>
      <protection locked="0"/>
    </xf>
    <xf numFmtId="167" fontId="26" fillId="7" borderId="10" xfId="3" applyNumberFormat="1" applyFont="1" applyFill="1" applyBorder="1" applyAlignment="1" applyProtection="1">
      <alignment horizontal="center" vertical="center" wrapText="1"/>
      <protection locked="0"/>
    </xf>
    <xf numFmtId="168" fontId="26" fillId="7" borderId="11" xfId="3" applyNumberFormat="1" applyFont="1" applyFill="1" applyBorder="1" applyAlignment="1" applyProtection="1">
      <alignment horizontal="center" vertical="center" wrapText="1"/>
      <protection locked="0"/>
    </xf>
    <xf numFmtId="49" fontId="26" fillId="7" borderId="12" xfId="3" applyNumberFormat="1" applyFont="1" applyFill="1" applyBorder="1" applyAlignment="1">
      <alignment horizontal="center" vertical="center" wrapText="1"/>
    </xf>
    <xf numFmtId="0" fontId="26" fillId="7" borderId="13" xfId="3" applyFont="1" applyFill="1" applyBorder="1" applyAlignment="1">
      <alignment horizontal="center" vertical="center" wrapText="1"/>
    </xf>
    <xf numFmtId="4" fontId="26" fillId="7" borderId="13" xfId="3" applyNumberFormat="1" applyFont="1" applyFill="1" applyBorder="1" applyAlignment="1">
      <alignment horizontal="center" vertical="center" wrapText="1"/>
    </xf>
    <xf numFmtId="4" fontId="26" fillId="7" borderId="14" xfId="3" applyNumberFormat="1" applyFont="1" applyFill="1" applyBorder="1" applyAlignment="1">
      <alignment horizontal="center" vertical="center" wrapText="1"/>
    </xf>
    <xf numFmtId="165" fontId="26" fillId="7" borderId="13" xfId="3" applyNumberFormat="1" applyFont="1" applyFill="1" applyBorder="1" applyAlignment="1" applyProtection="1">
      <alignment horizontal="center" vertical="center" wrapText="1"/>
      <protection locked="0"/>
    </xf>
    <xf numFmtId="166" fontId="26" fillId="7" borderId="13" xfId="3" applyNumberFormat="1" applyFont="1" applyFill="1" applyBorder="1" applyAlignment="1" applyProtection="1">
      <alignment horizontal="center" vertical="center" wrapText="1"/>
      <protection locked="0"/>
    </xf>
    <xf numFmtId="167" fontId="26" fillId="7" borderId="15" xfId="3" applyNumberFormat="1" applyFont="1" applyFill="1" applyBorder="1" applyAlignment="1" applyProtection="1">
      <alignment horizontal="center" vertical="center" wrapText="1"/>
      <protection locked="0"/>
    </xf>
    <xf numFmtId="168" fontId="26" fillId="7" borderId="16" xfId="3" applyNumberFormat="1" applyFont="1" applyFill="1" applyBorder="1" applyAlignment="1" applyProtection="1">
      <alignment horizontal="center" vertical="center" wrapText="1"/>
      <protection locked="0"/>
    </xf>
    <xf numFmtId="0" fontId="18" fillId="8" borderId="4" xfId="4" applyFont="1" applyFill="1" applyBorder="1" applyAlignment="1">
      <alignment horizontal="center" vertical="center" wrapText="1"/>
    </xf>
    <xf numFmtId="0" fontId="28" fillId="8" borderId="5" xfId="4" applyFont="1" applyFill="1" applyBorder="1" applyAlignment="1">
      <alignment horizontal="center" vertical="center" wrapText="1"/>
    </xf>
    <xf numFmtId="0" fontId="18" fillId="8" borderId="5" xfId="4" applyFont="1" applyFill="1" applyBorder="1" applyAlignment="1">
      <alignment horizontal="center" vertical="center" wrapText="1"/>
    </xf>
    <xf numFmtId="4" fontId="18" fillId="8" borderId="5" xfId="4" applyNumberFormat="1" applyFont="1" applyFill="1" applyBorder="1" applyAlignment="1">
      <alignment horizontal="center" vertical="center" wrapText="1"/>
    </xf>
    <xf numFmtId="4" fontId="18" fillId="8" borderId="17" xfId="4" applyNumberFormat="1" applyFont="1" applyFill="1" applyBorder="1" applyAlignment="1">
      <alignment horizontal="center" vertical="center" wrapText="1"/>
    </xf>
    <xf numFmtId="4" fontId="18" fillId="8" borderId="18" xfId="4" applyNumberFormat="1" applyFont="1" applyFill="1" applyBorder="1" applyAlignment="1">
      <alignment horizontal="center" vertical="center" wrapText="1"/>
    </xf>
    <xf numFmtId="4" fontId="18" fillId="8" borderId="6" xfId="4" applyNumberFormat="1" applyFont="1" applyFill="1" applyBorder="1" applyAlignment="1">
      <alignment horizontal="center" vertical="center" wrapText="1"/>
    </xf>
    <xf numFmtId="49" fontId="29" fillId="9" borderId="19" xfId="3" applyNumberFormat="1" applyFont="1" applyFill="1" applyBorder="1" applyAlignment="1">
      <alignment horizontal="center" vertical="center" wrapText="1"/>
    </xf>
    <xf numFmtId="0" fontId="29" fillId="9" borderId="20" xfId="3" applyFont="1" applyFill="1" applyBorder="1" applyAlignment="1">
      <alignment horizontal="left" vertical="center" wrapText="1"/>
    </xf>
    <xf numFmtId="0" fontId="29" fillId="9" borderId="20" xfId="3" applyFont="1" applyFill="1" applyBorder="1" applyAlignment="1">
      <alignment horizontal="center" vertical="center" wrapText="1"/>
    </xf>
    <xf numFmtId="2" fontId="29" fillId="9" borderId="20" xfId="3" applyNumberFormat="1" applyFont="1" applyFill="1" applyBorder="1" applyAlignment="1">
      <alignment horizontal="center" vertical="center" wrapText="1"/>
    </xf>
    <xf numFmtId="4" fontId="29" fillId="9" borderId="21" xfId="3" applyNumberFormat="1" applyFont="1" applyFill="1" applyBorder="1" applyAlignment="1">
      <alignment horizontal="center" vertical="center" wrapText="1"/>
    </xf>
    <xf numFmtId="165" fontId="22" fillId="9" borderId="20" xfId="3" applyNumberFormat="1" applyFont="1" applyFill="1" applyBorder="1" applyAlignment="1" applyProtection="1">
      <alignment vertical="center" wrapText="1"/>
      <protection locked="0"/>
    </xf>
    <xf numFmtId="166" fontId="29" fillId="9" borderId="20" xfId="3" applyNumberFormat="1" applyFont="1" applyFill="1" applyBorder="1" applyAlignment="1" applyProtection="1">
      <alignment horizontal="right" vertical="center" wrapText="1"/>
      <protection locked="0"/>
    </xf>
    <xf numFmtId="2" fontId="29" fillId="9" borderId="22" xfId="3" applyNumberFormat="1" applyFont="1" applyFill="1" applyBorder="1" applyAlignment="1">
      <alignment horizontal="center" vertical="center" wrapText="1"/>
    </xf>
    <xf numFmtId="4" fontId="29" fillId="9" borderId="23" xfId="3" applyNumberFormat="1" applyFont="1" applyFill="1" applyBorder="1" applyAlignment="1" applyProtection="1">
      <alignment horizontal="right" vertical="center" wrapText="1"/>
      <protection locked="0"/>
    </xf>
    <xf numFmtId="0" fontId="18" fillId="6" borderId="19" xfId="4" applyFont="1" applyFill="1" applyBorder="1" applyAlignment="1">
      <alignment horizontal="center" vertical="center" wrapText="1"/>
    </xf>
    <xf numFmtId="0" fontId="17" fillId="0" borderId="20" xfId="3" applyFont="1" applyBorder="1" applyAlignment="1">
      <alignment horizontal="right" vertical="center" wrapText="1"/>
    </xf>
    <xf numFmtId="0" fontId="17" fillId="0" borderId="20" xfId="3" applyFont="1" applyBorder="1" applyAlignment="1">
      <alignment horizontal="center" vertical="center" wrapText="1"/>
    </xf>
    <xf numFmtId="4" fontId="17" fillId="0" borderId="20" xfId="3" applyNumberFormat="1" applyFont="1" applyBorder="1" applyAlignment="1">
      <alignment horizontal="center" vertical="center" wrapText="1"/>
    </xf>
    <xf numFmtId="4" fontId="17" fillId="0" borderId="21" xfId="3" applyNumberFormat="1" applyFont="1" applyBorder="1" applyAlignment="1" applyProtection="1">
      <alignment horizontal="center" vertical="center"/>
      <protection locked="0"/>
    </xf>
    <xf numFmtId="4" fontId="17" fillId="6" borderId="20" xfId="3" applyNumberFormat="1" applyFont="1" applyFill="1" applyBorder="1" applyAlignment="1">
      <alignment horizontal="center" vertical="center" wrapText="1"/>
    </xf>
    <xf numFmtId="4" fontId="17" fillId="6" borderId="20" xfId="3" applyNumberFormat="1" applyFont="1" applyFill="1" applyBorder="1" applyAlignment="1" applyProtection="1">
      <alignment horizontal="right" vertical="center" wrapText="1"/>
      <protection locked="0"/>
    </xf>
    <xf numFmtId="4" fontId="30" fillId="6" borderId="22" xfId="3" applyNumberFormat="1" applyFont="1" applyFill="1" applyBorder="1" applyAlignment="1">
      <alignment horizontal="center" vertical="center" wrapText="1"/>
    </xf>
    <xf numFmtId="4" fontId="18" fillId="6" borderId="23" xfId="7" applyNumberFormat="1" applyFont="1" applyFill="1" applyBorder="1" applyAlignment="1">
      <alignment horizontal="center" vertical="center" wrapText="1"/>
    </xf>
    <xf numFmtId="0" fontId="18" fillId="9" borderId="4" xfId="4" applyFont="1" applyFill="1" applyBorder="1" applyAlignment="1">
      <alignment horizontal="center" vertical="center" wrapText="1"/>
    </xf>
    <xf numFmtId="0" fontId="28" fillId="9" borderId="5" xfId="4" applyFont="1" applyFill="1" applyBorder="1" applyAlignment="1">
      <alignment horizontal="center" vertical="center" wrapText="1"/>
    </xf>
    <xf numFmtId="0" fontId="18" fillId="9" borderId="5" xfId="4" applyFont="1" applyFill="1" applyBorder="1" applyAlignment="1">
      <alignment horizontal="center" vertical="center" wrapText="1"/>
    </xf>
    <xf numFmtId="4" fontId="18" fillId="9" borderId="5" xfId="4" applyNumberFormat="1" applyFont="1" applyFill="1" applyBorder="1" applyAlignment="1">
      <alignment horizontal="center" vertical="center" wrapText="1"/>
    </xf>
    <xf numFmtId="4" fontId="18" fillId="9" borderId="17" xfId="4" applyNumberFormat="1" applyFont="1" applyFill="1" applyBorder="1" applyAlignment="1">
      <alignment horizontal="center" vertical="center" wrapText="1"/>
    </xf>
    <xf numFmtId="4" fontId="18" fillId="9" borderId="18" xfId="4" applyNumberFormat="1" applyFont="1" applyFill="1" applyBorder="1" applyAlignment="1">
      <alignment horizontal="center" vertical="center" wrapText="1"/>
    </xf>
    <xf numFmtId="4" fontId="18" fillId="9" borderId="6" xfId="4" applyNumberFormat="1" applyFont="1" applyFill="1" applyBorder="1" applyAlignment="1">
      <alignment horizontal="center" vertical="center" wrapText="1"/>
    </xf>
    <xf numFmtId="2" fontId="29" fillId="9" borderId="21" xfId="3" applyNumberFormat="1" applyFont="1" applyFill="1" applyBorder="1" applyAlignment="1">
      <alignment horizontal="center" vertical="center" wrapText="1"/>
    </xf>
    <xf numFmtId="49" fontId="31" fillId="9" borderId="19" xfId="3" applyNumberFormat="1" applyFont="1" applyFill="1" applyBorder="1" applyAlignment="1">
      <alignment horizontal="center" vertical="center" wrapText="1"/>
    </xf>
    <xf numFmtId="0" fontId="31" fillId="9" borderId="20" xfId="3" applyFont="1" applyFill="1" applyBorder="1" applyAlignment="1">
      <alignment horizontal="left" vertical="center" wrapText="1"/>
    </xf>
    <xf numFmtId="0" fontId="31" fillId="9" borderId="20" xfId="3" applyFont="1" applyFill="1" applyBorder="1" applyAlignment="1">
      <alignment horizontal="center" vertical="center" wrapText="1"/>
    </xf>
    <xf numFmtId="166" fontId="31" fillId="9" borderId="20" xfId="3" applyNumberFormat="1" applyFont="1" applyFill="1" applyBorder="1" applyAlignment="1" applyProtection="1">
      <alignment horizontal="right" vertical="center" wrapText="1"/>
      <protection locked="0"/>
    </xf>
    <xf numFmtId="2" fontId="31" fillId="9" borderId="22" xfId="3" applyNumberFormat="1" applyFont="1" applyFill="1" applyBorder="1" applyAlignment="1">
      <alignment horizontal="center" vertical="center" wrapText="1"/>
    </xf>
    <xf numFmtId="2" fontId="31" fillId="9" borderId="20" xfId="3" applyNumberFormat="1" applyFont="1" applyFill="1" applyBorder="1" applyAlignment="1">
      <alignment horizontal="center" vertical="center" wrapText="1"/>
    </xf>
    <xf numFmtId="2" fontId="31" fillId="9" borderId="21" xfId="3" applyNumberFormat="1" applyFont="1" applyFill="1" applyBorder="1" applyAlignment="1">
      <alignment horizontal="center" vertical="center" wrapText="1"/>
    </xf>
    <xf numFmtId="165" fontId="17" fillId="9" borderId="20" xfId="3" applyNumberFormat="1" applyFont="1" applyFill="1" applyBorder="1" applyAlignment="1" applyProtection="1">
      <alignment vertical="center" wrapText="1"/>
      <protection locked="0"/>
    </xf>
    <xf numFmtId="43" fontId="0" fillId="10" borderId="0" xfId="6" applyFont="1" applyFill="1"/>
    <xf numFmtId="0" fontId="18" fillId="0" borderId="0" xfId="4" applyFont="1" applyAlignment="1">
      <alignment vertical="center"/>
    </xf>
    <xf numFmtId="43" fontId="18" fillId="10" borderId="0" xfId="6" applyFont="1" applyFill="1" applyAlignment="1">
      <alignment vertical="center"/>
    </xf>
    <xf numFmtId="43" fontId="18" fillId="0" borderId="0" xfId="6" applyFont="1" applyAlignment="1">
      <alignment vertical="center"/>
    </xf>
    <xf numFmtId="4" fontId="31" fillId="9" borderId="23" xfId="3" applyNumberFormat="1" applyFont="1" applyFill="1" applyBorder="1" applyAlignment="1" applyProtection="1">
      <alignment horizontal="right" vertical="center" wrapText="1"/>
      <protection locked="0"/>
    </xf>
    <xf numFmtId="4" fontId="22" fillId="9" borderId="20" xfId="3" applyNumberFormat="1" applyFont="1" applyFill="1" applyBorder="1" applyAlignment="1" applyProtection="1">
      <alignment vertical="center" wrapText="1"/>
      <protection locked="0"/>
    </xf>
    <xf numFmtId="4" fontId="29" fillId="9" borderId="20" xfId="3" applyNumberFormat="1" applyFont="1" applyFill="1" applyBorder="1" applyAlignment="1" applyProtection="1">
      <alignment horizontal="right" vertical="center" wrapText="1"/>
      <protection locked="0"/>
    </xf>
    <xf numFmtId="4" fontId="29" fillId="9" borderId="22" xfId="3" applyNumberFormat="1" applyFont="1" applyFill="1" applyBorder="1" applyAlignment="1">
      <alignment horizontal="center" vertical="center" wrapText="1"/>
    </xf>
    <xf numFmtId="4" fontId="29" fillId="9" borderId="20" xfId="3" applyNumberFormat="1" applyFont="1" applyFill="1" applyBorder="1" applyAlignment="1">
      <alignment horizontal="center" vertical="center" wrapText="1"/>
    </xf>
    <xf numFmtId="0" fontId="31" fillId="8" borderId="5" xfId="4" applyFont="1" applyFill="1" applyBorder="1" applyAlignment="1">
      <alignment horizontal="center" vertical="center" wrapText="1"/>
    </xf>
    <xf numFmtId="0" fontId="17" fillId="8" borderId="5" xfId="4" applyFill="1" applyBorder="1" applyAlignment="1">
      <alignment horizontal="center" vertical="center" wrapText="1"/>
    </xf>
    <xf numFmtId="4" fontId="17" fillId="8" borderId="5" xfId="4" applyNumberFormat="1" applyFill="1" applyBorder="1" applyAlignment="1">
      <alignment horizontal="center" vertical="center" wrapText="1"/>
    </xf>
    <xf numFmtId="4" fontId="17" fillId="8" borderId="17" xfId="4" applyNumberFormat="1" applyFill="1" applyBorder="1" applyAlignment="1">
      <alignment horizontal="center" vertical="center" wrapText="1"/>
    </xf>
    <xf numFmtId="4" fontId="17" fillId="8" borderId="18" xfId="4" applyNumberFormat="1" applyFill="1" applyBorder="1" applyAlignment="1">
      <alignment horizontal="center" vertical="center" wrapText="1"/>
    </xf>
    <xf numFmtId="4" fontId="17" fillId="8" borderId="6" xfId="4" applyNumberFormat="1" applyFill="1" applyBorder="1" applyAlignment="1">
      <alignment horizontal="center" vertical="center" wrapText="1"/>
    </xf>
    <xf numFmtId="49" fontId="29" fillId="9" borderId="7" xfId="3" applyNumberFormat="1" applyFont="1" applyFill="1" applyBorder="1" applyAlignment="1">
      <alignment horizontal="center" vertical="center" wrapText="1"/>
    </xf>
    <xf numFmtId="0" fontId="31" fillId="9" borderId="8" xfId="3" applyFont="1" applyFill="1" applyBorder="1" applyAlignment="1">
      <alignment horizontal="left" vertical="center" wrapText="1"/>
    </xf>
    <xf numFmtId="0" fontId="31" fillId="9" borderId="8" xfId="3" applyFont="1" applyFill="1" applyBorder="1" applyAlignment="1">
      <alignment horizontal="center" vertical="center" wrapText="1"/>
    </xf>
    <xf numFmtId="2" fontId="31" fillId="9" borderId="8" xfId="3" applyNumberFormat="1" applyFont="1" applyFill="1" applyBorder="1" applyAlignment="1">
      <alignment horizontal="center" vertical="center" wrapText="1"/>
    </xf>
    <xf numFmtId="4" fontId="31" fillId="9" borderId="9" xfId="3" applyNumberFormat="1" applyFont="1" applyFill="1" applyBorder="1" applyAlignment="1">
      <alignment horizontal="center" vertical="center" wrapText="1"/>
    </xf>
    <xf numFmtId="165" fontId="32" fillId="9" borderId="8" xfId="3" applyNumberFormat="1" applyFont="1" applyFill="1" applyBorder="1" applyAlignment="1" applyProtection="1">
      <alignment vertical="center" wrapText="1"/>
      <protection locked="0"/>
    </xf>
    <xf numFmtId="166" fontId="31" fillId="9" borderId="8" xfId="3" applyNumberFormat="1" applyFont="1" applyFill="1" applyBorder="1" applyAlignment="1" applyProtection="1">
      <alignment horizontal="right" vertical="center" wrapText="1"/>
      <protection locked="0"/>
    </xf>
    <xf numFmtId="4" fontId="31" fillId="9" borderId="11" xfId="3" applyNumberFormat="1" applyFont="1" applyFill="1" applyBorder="1" applyAlignment="1" applyProtection="1">
      <alignment horizontal="right" vertical="center" wrapText="1"/>
      <protection locked="0"/>
    </xf>
    <xf numFmtId="4" fontId="18" fillId="0" borderId="0" xfId="4" applyNumberFormat="1" applyFont="1" applyAlignment="1">
      <alignment vertical="center"/>
    </xf>
    <xf numFmtId="0" fontId="33" fillId="11" borderId="7" xfId="3" applyFont="1" applyFill="1" applyBorder="1" applyAlignment="1">
      <alignment horizontal="right" vertical="center" wrapText="1"/>
    </xf>
    <xf numFmtId="0" fontId="33" fillId="11" borderId="8" xfId="3" applyFont="1" applyFill="1" applyBorder="1" applyAlignment="1">
      <alignment horizontal="right" vertical="center" wrapText="1"/>
    </xf>
    <xf numFmtId="0" fontId="33" fillId="11" borderId="9" xfId="3" applyFont="1" applyFill="1" applyBorder="1" applyAlignment="1">
      <alignment horizontal="right" vertical="center" wrapText="1"/>
    </xf>
    <xf numFmtId="4" fontId="33" fillId="11" borderId="7" xfId="3" applyNumberFormat="1" applyFont="1" applyFill="1" applyBorder="1" applyAlignment="1">
      <alignment vertical="center"/>
    </xf>
    <xf numFmtId="4" fontId="25" fillId="11" borderId="8" xfId="3" applyNumberFormat="1" applyFont="1" applyFill="1" applyBorder="1" applyAlignment="1">
      <alignment vertical="center"/>
    </xf>
    <xf numFmtId="4" fontId="33" fillId="11" borderId="11" xfId="3" applyNumberFormat="1" applyFont="1" applyFill="1" applyBorder="1" applyAlignment="1">
      <alignment vertical="center"/>
    </xf>
    <xf numFmtId="49" fontId="33" fillId="11" borderId="19" xfId="3" applyNumberFormat="1" applyFont="1" applyFill="1" applyBorder="1" applyAlignment="1">
      <alignment horizontal="right" vertical="center" wrapText="1"/>
    </xf>
    <xf numFmtId="49" fontId="33" fillId="11" borderId="20" xfId="3" applyNumberFormat="1" applyFont="1" applyFill="1" applyBorder="1" applyAlignment="1">
      <alignment horizontal="right" vertical="center" wrapText="1"/>
    </xf>
    <xf numFmtId="49" fontId="33" fillId="11" borderId="21" xfId="3" applyNumberFormat="1" applyFont="1" applyFill="1" applyBorder="1" applyAlignment="1">
      <alignment horizontal="right" vertical="center" wrapText="1"/>
    </xf>
    <xf numFmtId="4" fontId="33" fillId="11" borderId="19" xfId="3" applyNumberFormat="1" applyFont="1" applyFill="1" applyBorder="1" applyAlignment="1">
      <alignment vertical="center" wrapText="1"/>
    </xf>
    <xf numFmtId="4" fontId="25" fillId="11" borderId="20" xfId="3" applyNumberFormat="1" applyFont="1" applyFill="1" applyBorder="1" applyAlignment="1">
      <alignment vertical="center" wrapText="1"/>
    </xf>
    <xf numFmtId="4" fontId="33" fillId="11" borderId="23" xfId="3" applyNumberFormat="1" applyFont="1" applyFill="1" applyBorder="1" applyAlignment="1">
      <alignment vertical="center" wrapText="1"/>
    </xf>
    <xf numFmtId="49" fontId="33" fillId="11" borderId="24" xfId="3" applyNumberFormat="1" applyFont="1" applyFill="1" applyBorder="1" applyAlignment="1">
      <alignment horizontal="right" vertical="center" wrapText="1"/>
    </xf>
    <xf numFmtId="49" fontId="33" fillId="11" borderId="25" xfId="3" applyNumberFormat="1" applyFont="1" applyFill="1" applyBorder="1" applyAlignment="1">
      <alignment horizontal="right" vertical="center" wrapText="1"/>
    </xf>
    <xf numFmtId="49" fontId="33" fillId="11" borderId="26" xfId="3" applyNumberFormat="1" applyFont="1" applyFill="1" applyBorder="1" applyAlignment="1">
      <alignment horizontal="right" vertical="center" wrapText="1"/>
    </xf>
    <xf numFmtId="4" fontId="33" fillId="11" borderId="24" xfId="3" applyNumberFormat="1" applyFont="1" applyFill="1" applyBorder="1" applyAlignment="1">
      <alignment vertical="center" wrapText="1"/>
    </xf>
    <xf numFmtId="4" fontId="25" fillId="11" borderId="25" xfId="3" applyNumberFormat="1" applyFont="1" applyFill="1" applyBorder="1" applyAlignment="1">
      <alignment vertical="center" wrapText="1"/>
    </xf>
    <xf numFmtId="4" fontId="33" fillId="11" borderId="27" xfId="3" applyNumberFormat="1" applyFont="1" applyFill="1" applyBorder="1" applyAlignment="1">
      <alignment vertical="center" wrapText="1"/>
    </xf>
    <xf numFmtId="49" fontId="25" fillId="11" borderId="28" xfId="3" applyNumberFormat="1" applyFont="1" applyFill="1" applyBorder="1" applyAlignment="1">
      <alignment horizontal="right" vertical="center" wrapText="1"/>
    </xf>
    <xf numFmtId="49" fontId="25" fillId="11" borderId="29" xfId="3" applyNumberFormat="1" applyFont="1" applyFill="1" applyBorder="1" applyAlignment="1">
      <alignment horizontal="right" vertical="center" wrapText="1"/>
    </xf>
    <xf numFmtId="49" fontId="25" fillId="11" borderId="30" xfId="3" applyNumberFormat="1" applyFont="1" applyFill="1" applyBorder="1" applyAlignment="1">
      <alignment horizontal="right" vertical="center" wrapText="1"/>
    </xf>
    <xf numFmtId="4" fontId="25" fillId="11" borderId="28" xfId="3" applyNumberFormat="1" applyFont="1" applyFill="1" applyBorder="1" applyAlignment="1">
      <alignment horizontal="right" vertical="center" wrapText="1"/>
    </xf>
    <xf numFmtId="4" fontId="25" fillId="11" borderId="29" xfId="3" applyNumberFormat="1" applyFont="1" applyFill="1" applyBorder="1" applyAlignment="1">
      <alignment horizontal="right" vertical="center" wrapText="1"/>
    </xf>
    <xf numFmtId="4" fontId="25" fillId="11" borderId="31" xfId="3" applyNumberFormat="1" applyFont="1" applyFill="1" applyBorder="1" applyAlignment="1">
      <alignment horizontal="right" vertical="center" wrapText="1"/>
    </xf>
    <xf numFmtId="49" fontId="25" fillId="11" borderId="19" xfId="3" applyNumberFormat="1" applyFont="1" applyFill="1" applyBorder="1" applyAlignment="1">
      <alignment horizontal="right" vertical="center" wrapText="1"/>
    </xf>
    <xf numFmtId="49" fontId="25" fillId="11" borderId="20" xfId="3" applyNumberFormat="1" applyFont="1" applyFill="1" applyBorder="1" applyAlignment="1">
      <alignment horizontal="right" vertical="center" wrapText="1"/>
    </xf>
    <xf numFmtId="49" fontId="25" fillId="11" borderId="21" xfId="3" applyNumberFormat="1" applyFont="1" applyFill="1" applyBorder="1" applyAlignment="1">
      <alignment horizontal="right" vertical="center" wrapText="1"/>
    </xf>
    <xf numFmtId="4" fontId="25" fillId="11" borderId="19" xfId="3" applyNumberFormat="1" applyFont="1" applyFill="1" applyBorder="1" applyAlignment="1">
      <alignment horizontal="right" vertical="center" wrapText="1"/>
    </xf>
    <xf numFmtId="4" fontId="25" fillId="11" borderId="20" xfId="3" applyNumberFormat="1" applyFont="1" applyFill="1" applyBorder="1" applyAlignment="1">
      <alignment horizontal="right" vertical="center" wrapText="1"/>
    </xf>
    <xf numFmtId="4" fontId="25" fillId="11" borderId="23" xfId="3" applyNumberFormat="1" applyFont="1" applyFill="1" applyBorder="1" applyAlignment="1">
      <alignment horizontal="right" vertical="center" wrapText="1"/>
    </xf>
    <xf numFmtId="49" fontId="25" fillId="11" borderId="24" xfId="3" applyNumberFormat="1" applyFont="1" applyFill="1" applyBorder="1" applyAlignment="1">
      <alignment horizontal="right" vertical="center" wrapText="1"/>
    </xf>
    <xf numFmtId="49" fontId="25" fillId="11" borderId="25" xfId="3" applyNumberFormat="1" applyFont="1" applyFill="1" applyBorder="1" applyAlignment="1">
      <alignment horizontal="right" vertical="center" wrapText="1"/>
    </xf>
    <xf numFmtId="49" fontId="25" fillId="11" borderId="26" xfId="3" applyNumberFormat="1" applyFont="1" applyFill="1" applyBorder="1" applyAlignment="1">
      <alignment horizontal="right" vertical="center" wrapText="1"/>
    </xf>
    <xf numFmtId="4" fontId="25" fillId="11" borderId="32" xfId="3" applyNumberFormat="1" applyFont="1" applyFill="1" applyBorder="1" applyAlignment="1">
      <alignment vertical="center" wrapText="1"/>
    </xf>
    <xf numFmtId="4" fontId="25" fillId="11" borderId="33" xfId="3" applyNumberFormat="1" applyFont="1" applyFill="1" applyBorder="1" applyAlignment="1">
      <alignment vertical="center" wrapText="1"/>
    </xf>
    <xf numFmtId="4" fontId="25" fillId="11" borderId="34" xfId="3" applyNumberFormat="1" applyFont="1" applyFill="1" applyBorder="1" applyAlignment="1">
      <alignment vertical="center" wrapText="1"/>
    </xf>
    <xf numFmtId="43" fontId="6" fillId="10" borderId="0" xfId="6" applyFont="1" applyFill="1"/>
    <xf numFmtId="0" fontId="6" fillId="0" borderId="0" xfId="5" applyFont="1"/>
    <xf numFmtId="0" fontId="18" fillId="10" borderId="19" xfId="4" applyFont="1" applyFill="1" applyBorder="1" applyAlignment="1">
      <alignment horizontal="center" vertical="center" wrapText="1"/>
    </xf>
    <xf numFmtId="0" fontId="17" fillId="10" borderId="20" xfId="3" applyFont="1" applyFill="1" applyBorder="1" applyAlignment="1">
      <alignment horizontal="right" vertical="center" wrapText="1"/>
    </xf>
    <xf numFmtId="0" fontId="17" fillId="10" borderId="20" xfId="3" applyFont="1" applyFill="1" applyBorder="1" applyAlignment="1">
      <alignment horizontal="center" vertical="center" wrapText="1"/>
    </xf>
    <xf numFmtId="4" fontId="17" fillId="10" borderId="20" xfId="3" applyNumberFormat="1" applyFont="1" applyFill="1" applyBorder="1" applyAlignment="1">
      <alignment horizontal="center" vertical="center" wrapText="1"/>
    </xf>
    <xf numFmtId="4" fontId="17" fillId="10" borderId="21" xfId="3" applyNumberFormat="1" applyFont="1" applyFill="1" applyBorder="1" applyAlignment="1" applyProtection="1">
      <alignment horizontal="center" vertical="center"/>
      <protection locked="0"/>
    </xf>
    <xf numFmtId="4" fontId="17" fillId="10" borderId="20" xfId="3" applyNumberFormat="1" applyFont="1" applyFill="1" applyBorder="1" applyAlignment="1" applyProtection="1">
      <alignment horizontal="right" vertical="center" wrapText="1"/>
      <protection locked="0"/>
    </xf>
    <xf numFmtId="0" fontId="19" fillId="10" borderId="0" xfId="5" applyFill="1"/>
    <xf numFmtId="10" fontId="19" fillId="0" borderId="0" xfId="5" applyNumberFormat="1"/>
    <xf numFmtId="0" fontId="34" fillId="0" borderId="35" xfId="5" applyFont="1" applyBorder="1" applyAlignment="1">
      <alignment horizontal="center" vertical="center" wrapText="1"/>
    </xf>
    <xf numFmtId="0" fontId="34" fillId="0" borderId="36" xfId="5" applyFont="1" applyBorder="1" applyAlignment="1">
      <alignment horizontal="center" vertical="center"/>
    </xf>
    <xf numFmtId="0" fontId="34" fillId="0" borderId="36" xfId="5" applyFont="1" applyBorder="1" applyAlignment="1">
      <alignment horizontal="center" vertical="center" wrapText="1"/>
    </xf>
    <xf numFmtId="49" fontId="34" fillId="0" borderId="36" xfId="5" applyNumberFormat="1" applyFont="1" applyBorder="1" applyAlignment="1">
      <alignment horizontal="center" vertical="center" wrapText="1"/>
    </xf>
    <xf numFmtId="49" fontId="34" fillId="0" borderId="37" xfId="5" applyNumberFormat="1" applyFont="1" applyBorder="1" applyAlignment="1">
      <alignment horizontal="center" vertical="center" wrapText="1"/>
    </xf>
    <xf numFmtId="0" fontId="35" fillId="0" borderId="38" xfId="5" applyFont="1" applyBorder="1" applyAlignment="1">
      <alignment horizontal="center" vertical="center"/>
    </xf>
    <xf numFmtId="0" fontId="35" fillId="0" borderId="39" xfId="5" applyFont="1" applyBorder="1" applyAlignment="1">
      <alignment horizontal="center" vertical="center" wrapText="1"/>
    </xf>
    <xf numFmtId="0" fontId="35" fillId="0" borderId="39" xfId="5" applyFont="1" applyBorder="1" applyAlignment="1">
      <alignment vertical="center"/>
    </xf>
    <xf numFmtId="49" fontId="35" fillId="0" borderId="39" xfId="5" applyNumberFormat="1" applyFont="1" applyBorder="1" applyAlignment="1">
      <alignment horizontal="center" vertical="center"/>
    </xf>
    <xf numFmtId="49" fontId="35" fillId="0" borderId="40" xfId="5" applyNumberFormat="1" applyFont="1" applyBorder="1" applyAlignment="1">
      <alignment horizontal="center" vertical="center"/>
    </xf>
    <xf numFmtId="0" fontId="18" fillId="0" borderId="38" xfId="5" applyFont="1" applyBorder="1" applyAlignment="1">
      <alignment horizontal="center" vertical="center"/>
    </xf>
    <xf numFmtId="0" fontId="18" fillId="12" borderId="39" xfId="5" applyFont="1" applyFill="1" applyBorder="1" applyAlignment="1">
      <alignment horizontal="left" vertical="center"/>
    </xf>
    <xf numFmtId="0" fontId="18" fillId="12" borderId="39" xfId="5" applyFont="1" applyFill="1" applyBorder="1" applyAlignment="1">
      <alignment horizontal="center" vertical="center"/>
    </xf>
    <xf numFmtId="4" fontId="36" fillId="0" borderId="39" xfId="5" applyNumberFormat="1" applyFont="1" applyBorder="1" applyAlignment="1">
      <alignment horizontal="center" vertical="center"/>
    </xf>
    <xf numFmtId="2" fontId="18" fillId="0" borderId="39" xfId="5" applyNumberFormat="1" applyFont="1" applyBorder="1" applyAlignment="1">
      <alignment horizontal="center" vertical="center"/>
    </xf>
    <xf numFmtId="4" fontId="18" fillId="12" borderId="39" xfId="5" applyNumberFormat="1" applyFont="1" applyFill="1" applyBorder="1" applyAlignment="1">
      <alignment horizontal="center" vertical="center"/>
    </xf>
    <xf numFmtId="0" fontId="18" fillId="0" borderId="39" xfId="5" applyFont="1" applyBorder="1" applyAlignment="1">
      <alignment vertical="center"/>
    </xf>
    <xf numFmtId="49" fontId="18" fillId="0" borderId="39" xfId="5" applyNumberFormat="1" applyFont="1" applyBorder="1" applyAlignment="1">
      <alignment horizontal="center" vertical="center" wrapText="1"/>
    </xf>
    <xf numFmtId="4" fontId="18" fillId="0" borderId="39" xfId="5" applyNumberFormat="1" applyFont="1" applyBorder="1" applyAlignment="1">
      <alignment horizontal="center" vertical="center"/>
    </xf>
    <xf numFmtId="4" fontId="18" fillId="0" borderId="40" xfId="5" applyNumberFormat="1" applyFont="1" applyBorder="1" applyAlignment="1">
      <alignment horizontal="center" vertical="center"/>
    </xf>
    <xf numFmtId="0" fontId="18" fillId="0" borderId="39" xfId="5" applyFont="1" applyBorder="1"/>
    <xf numFmtId="0" fontId="18" fillId="0" borderId="39" xfId="5" applyFont="1" applyBorder="1" applyAlignment="1">
      <alignment horizontal="center"/>
    </xf>
    <xf numFmtId="0" fontId="18" fillId="0" borderId="39" xfId="5" applyFont="1" applyBorder="1" applyAlignment="1">
      <alignment horizontal="center" vertical="center"/>
    </xf>
    <xf numFmtId="0" fontId="19" fillId="0" borderId="39" xfId="5" applyBorder="1" applyAlignment="1">
      <alignment vertical="center"/>
    </xf>
    <xf numFmtId="0" fontId="19" fillId="0" borderId="39" xfId="5" applyBorder="1"/>
    <xf numFmtId="4" fontId="19" fillId="0" borderId="39" xfId="5" applyNumberFormat="1" applyBorder="1"/>
    <xf numFmtId="0" fontId="18" fillId="0" borderId="41" xfId="5" applyFont="1" applyBorder="1" applyAlignment="1">
      <alignment horizontal="center" vertical="center"/>
    </xf>
    <xf numFmtId="0" fontId="34" fillId="0" borderId="38" xfId="5" applyFont="1" applyBorder="1" applyAlignment="1">
      <alignment horizontal="center" vertical="center"/>
    </xf>
    <xf numFmtId="0" fontId="34" fillId="13" borderId="39" xfId="5" applyFont="1" applyFill="1" applyBorder="1" applyAlignment="1">
      <alignment vertical="center"/>
    </xf>
    <xf numFmtId="0" fontId="34" fillId="0" borderId="39" xfId="5" applyFont="1" applyBorder="1" applyAlignment="1">
      <alignment horizontal="center" vertical="center"/>
    </xf>
    <xf numFmtId="4" fontId="34" fillId="0" borderId="39" xfId="5" applyNumberFormat="1" applyFont="1" applyBorder="1" applyAlignment="1">
      <alignment horizontal="center" vertical="center"/>
    </xf>
    <xf numFmtId="2" fontId="34" fillId="0" borderId="39" xfId="5" applyNumberFormat="1" applyFont="1" applyBorder="1" applyAlignment="1">
      <alignment horizontal="center" vertical="center"/>
    </xf>
    <xf numFmtId="4" fontId="34" fillId="13" borderId="39" xfId="5" applyNumberFormat="1" applyFont="1" applyFill="1" applyBorder="1" applyAlignment="1">
      <alignment horizontal="center" vertical="center"/>
    </xf>
    <xf numFmtId="0" fontId="34" fillId="13" borderId="39" xfId="5" applyFont="1" applyFill="1" applyBorder="1" applyAlignment="1">
      <alignment horizontal="right" vertical="center"/>
    </xf>
    <xf numFmtId="2" fontId="37" fillId="0" borderId="39" xfId="5" applyNumberFormat="1" applyFont="1" applyBorder="1" applyAlignment="1">
      <alignment horizontal="center" vertical="center"/>
    </xf>
    <xf numFmtId="0" fontId="37" fillId="0" borderId="39" xfId="5" applyFont="1" applyBorder="1" applyAlignment="1">
      <alignment horizontal="center" vertical="center"/>
    </xf>
    <xf numFmtId="4" fontId="38" fillId="0" borderId="39" xfId="5" applyNumberFormat="1" applyFont="1" applyBorder="1" applyAlignment="1">
      <alignment horizontal="center" vertical="center"/>
    </xf>
    <xf numFmtId="4" fontId="37" fillId="13" borderId="40" xfId="5" applyNumberFormat="1" applyFont="1" applyFill="1" applyBorder="1" applyAlignment="1">
      <alignment horizontal="center" vertical="center"/>
    </xf>
    <xf numFmtId="0" fontId="38" fillId="13" borderId="42" xfId="5" applyFont="1" applyFill="1" applyBorder="1" applyAlignment="1">
      <alignment horizontal="center" vertical="center"/>
    </xf>
    <xf numFmtId="0" fontId="38" fillId="13" borderId="0" xfId="5" applyFont="1" applyFill="1" applyAlignment="1">
      <alignment vertical="center"/>
    </xf>
    <xf numFmtId="0" fontId="38" fillId="13" borderId="0" xfId="5" applyFont="1" applyFill="1" applyAlignment="1">
      <alignment horizontal="center" vertical="center"/>
    </xf>
    <xf numFmtId="4" fontId="38" fillId="13" borderId="0" xfId="5" applyNumberFormat="1" applyFont="1" applyFill="1" applyAlignment="1">
      <alignment horizontal="center" vertical="center"/>
    </xf>
    <xf numFmtId="2" fontId="38" fillId="13" borderId="0" xfId="5" applyNumberFormat="1" applyFont="1" applyFill="1" applyAlignment="1">
      <alignment horizontal="center" vertical="center"/>
    </xf>
    <xf numFmtId="2" fontId="39" fillId="13" borderId="39" xfId="5" applyNumberFormat="1" applyFont="1" applyFill="1" applyBorder="1" applyAlignment="1">
      <alignment horizontal="center" vertical="center"/>
    </xf>
    <xf numFmtId="0" fontId="37" fillId="13" borderId="43" xfId="5" applyFont="1" applyFill="1" applyBorder="1" applyAlignment="1">
      <alignment horizontal="right" vertical="center"/>
    </xf>
    <xf numFmtId="0" fontId="37" fillId="13" borderId="44" xfId="5" applyFont="1" applyFill="1" applyBorder="1" applyAlignment="1">
      <alignment horizontal="right" vertical="center"/>
    </xf>
    <xf numFmtId="0" fontId="37" fillId="13" borderId="41" xfId="5" applyFont="1" applyFill="1" applyBorder="1" applyAlignment="1">
      <alignment horizontal="right" vertical="center"/>
    </xf>
    <xf numFmtId="0" fontId="34" fillId="13" borderId="38" xfId="5" applyFont="1" applyFill="1" applyBorder="1" applyAlignment="1">
      <alignment horizontal="right" vertical="center"/>
    </xf>
    <xf numFmtId="0" fontId="37" fillId="13" borderId="39" xfId="5" applyFont="1" applyFill="1" applyBorder="1" applyAlignment="1">
      <alignment horizontal="right" vertical="center"/>
    </xf>
    <xf numFmtId="4" fontId="34" fillId="13" borderId="39" xfId="5" applyNumberFormat="1" applyFont="1" applyFill="1" applyBorder="1" applyAlignment="1">
      <alignment horizontal="right" vertical="center"/>
    </xf>
    <xf numFmtId="0" fontId="34" fillId="13" borderId="45" xfId="5" applyFont="1" applyFill="1" applyBorder="1" applyAlignment="1">
      <alignment horizontal="right" vertical="center"/>
    </xf>
    <xf numFmtId="0" fontId="34" fillId="13" borderId="46" xfId="5" applyFont="1" applyFill="1" applyBorder="1" applyAlignment="1">
      <alignment horizontal="right" vertical="center"/>
    </xf>
    <xf numFmtId="0" fontId="37" fillId="13" borderId="47" xfId="5" applyFont="1" applyFill="1" applyBorder="1" applyAlignment="1">
      <alignment horizontal="right" vertical="center"/>
    </xf>
    <xf numFmtId="0" fontId="37" fillId="13" borderId="48" xfId="5" applyFont="1" applyFill="1" applyBorder="1" applyAlignment="1">
      <alignment horizontal="right" vertical="center"/>
    </xf>
    <xf numFmtId="0" fontId="37" fillId="13" borderId="49" xfId="5" applyFont="1" applyFill="1" applyBorder="1" applyAlignment="1">
      <alignment horizontal="right" vertical="center"/>
    </xf>
    <xf numFmtId="4" fontId="37" fillId="13" borderId="50" xfId="5" applyNumberFormat="1" applyFont="1" applyFill="1" applyBorder="1" applyAlignment="1">
      <alignment horizontal="center" vertical="center"/>
    </xf>
    <xf numFmtId="0" fontId="26" fillId="7" borderId="51" xfId="3" applyFont="1" applyFill="1" applyBorder="1" applyAlignment="1">
      <alignment horizontal="center" vertical="center" wrapText="1"/>
    </xf>
    <xf numFmtId="4" fontId="26" fillId="7" borderId="51" xfId="3" applyNumberFormat="1" applyFont="1" applyFill="1" applyBorder="1" applyAlignment="1">
      <alignment horizontal="center" vertical="center" wrapText="1"/>
    </xf>
    <xf numFmtId="4" fontId="26" fillId="7" borderId="52" xfId="3" applyNumberFormat="1" applyFont="1" applyFill="1" applyBorder="1" applyAlignment="1">
      <alignment horizontal="center" vertical="center" wrapText="1"/>
    </xf>
    <xf numFmtId="165" fontId="26" fillId="7" borderId="51" xfId="3" applyNumberFormat="1" applyFont="1" applyFill="1" applyBorder="1" applyAlignment="1" applyProtection="1">
      <alignment horizontal="center" vertical="center" wrapText="1"/>
      <protection locked="0"/>
    </xf>
    <xf numFmtId="166" fontId="26" fillId="7" borderId="51" xfId="3" applyNumberFormat="1" applyFont="1" applyFill="1" applyBorder="1" applyAlignment="1" applyProtection="1">
      <alignment horizontal="center" vertical="center" wrapText="1"/>
      <protection locked="0"/>
    </xf>
    <xf numFmtId="167" fontId="26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17" fillId="6" borderId="21" xfId="3" applyNumberFormat="1" applyFont="1" applyFill="1" applyBorder="1" applyAlignment="1" applyProtection="1">
      <alignment horizontal="center" vertical="center"/>
      <protection locked="0"/>
    </xf>
    <xf numFmtId="43" fontId="0" fillId="14" borderId="0" xfId="6" applyFont="1" applyFill="1"/>
    <xf numFmtId="0" fontId="5" fillId="15" borderId="1" xfId="2" applyFont="1" applyFill="1" applyBorder="1" applyAlignment="1">
      <alignment horizontal="center" vertical="center" wrapText="1"/>
    </xf>
    <xf numFmtId="43" fontId="2" fillId="15" borderId="1" xfId="1" applyFont="1" applyFill="1" applyBorder="1" applyAlignment="1">
      <alignment horizontal="right" wrapText="1"/>
    </xf>
    <xf numFmtId="0" fontId="3" fillId="0" borderId="1" xfId="2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43" fontId="6" fillId="2" borderId="1" xfId="1" applyFont="1" applyFill="1" applyBorder="1"/>
  </cellXfs>
  <cellStyles count="8">
    <cellStyle name="Обычный" xfId="0" builtinId="0"/>
    <cellStyle name="Обычный 2" xfId="5" xr:uid="{22B0D86D-DDBC-3B4F-95DF-860770159846}"/>
    <cellStyle name="Обычный 3" xfId="4" xr:uid="{2C07BE5F-9F15-4443-A9A6-9694CDCE93BB}"/>
    <cellStyle name="Обычный 5" xfId="3" xr:uid="{2AB4371A-9250-C142-A928-A0C86D39D4E7}"/>
    <cellStyle name="Обычный 6" xfId="2" xr:uid="{F9D593D4-3031-ED49-BF63-66AA81BC67D7}"/>
    <cellStyle name="Финансовый" xfId="1" builtinId="3"/>
    <cellStyle name="Финансовый 2" xfId="6" xr:uid="{DD2BBDB4-34E4-3F4F-BFCB-1D39B60122D3}"/>
    <cellStyle name="Финансовый 2 2" xfId="7" xr:uid="{30D031F4-4138-6741-8CE6-1EBBD6BCB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xpshenya/Downloads/&#1041;&#1102;&#1076;&#1078;&#1077;&#1090;%20&#1050;&#1086;&#1084;&#1087;&#1072;&#1085;&#1110;%20%20&#1085;&#1072;%2029.09.2026.xlsx" TargetMode="External"/><Relationship Id="rId1" Type="http://schemas.openxmlformats.org/officeDocument/2006/relationships/externalLinkPath" Target="&#1041;&#1102;&#1076;&#1078;&#1077;&#1090;%20&#1050;&#1086;&#1084;&#1087;&#1072;&#1085;&#1110;%20%20&#1085;&#1072;%2029.09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юджет ДиР - операционный"/>
      <sheetName val="зв'язок"/>
      <sheetName val="гсм"/>
      <sheetName val="аренда"/>
      <sheetName val="то+страховка+авто"/>
      <sheetName val="Сеть_объектов"/>
      <sheetName val="Колос, буд. 4"/>
      <sheetName val="Козин-Моноліт"/>
      <sheetName val="Лютіж+адмін"/>
      <sheetName val="Варшавський 10.8"/>
      <sheetName val="Варшавський 10.8 новий"/>
      <sheetName val="Варшавський 12.1 нов"/>
      <sheetName val="Варшавський 6.1"/>
      <sheetName val="Львів, Стрийська 2"/>
      <sheetName val="Варшавський 12.1 "/>
      <sheetName val="Колос, буд. 5"/>
      <sheetName val="Колос, буд. 6"/>
      <sheetName val="Колос, буд. 7"/>
      <sheetName val="Каунаська, 1"/>
      <sheetName val="Континент"/>
      <sheetName val="Козин-фасад"/>
      <sheetName val="Осіння, 1а"/>
      <sheetName val="Колос, буд. 2б"/>
      <sheetName val="Колос, буд. 1А"/>
      <sheetName val="Ашан Почайна покрівля"/>
      <sheetName val="Львів, Г.Майдану, 17"/>
      <sheetName val="Агро-Термін кладка"/>
      <sheetName val="Колос експозит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8BDA-8AAF-F847-90DA-94411A01924B}">
  <dimension ref="A1:B69"/>
  <sheetViews>
    <sheetView tabSelected="1" zoomScale="142" workbookViewId="0">
      <selection activeCell="A52" sqref="A52"/>
    </sheetView>
  </sheetViews>
  <sheetFormatPr baseColWidth="10" defaultRowHeight="16"/>
  <cols>
    <col min="1" max="1" width="38.1640625" bestFit="1" customWidth="1"/>
    <col min="2" max="2" width="13.33203125" style="19" bestFit="1" customWidth="1"/>
  </cols>
  <sheetData>
    <row r="1" spans="1:2">
      <c r="A1" s="236" t="s">
        <v>336</v>
      </c>
      <c r="B1" s="237"/>
    </row>
    <row r="2" spans="1:2">
      <c r="A2" s="234" t="s">
        <v>335</v>
      </c>
      <c r="B2" s="235">
        <f>B3+B4+B5</f>
        <v>0</v>
      </c>
    </row>
    <row r="3" spans="1:2">
      <c r="A3" s="2" t="s">
        <v>0</v>
      </c>
      <c r="B3" s="12"/>
    </row>
    <row r="4" spans="1:2">
      <c r="A4" s="2" t="s">
        <v>1</v>
      </c>
      <c r="B4" s="12"/>
    </row>
    <row r="5" spans="1:2">
      <c r="A5" s="2" t="s">
        <v>2</v>
      </c>
      <c r="B5" s="12"/>
    </row>
    <row r="6" spans="1:2">
      <c r="A6" s="1" t="s">
        <v>42</v>
      </c>
      <c r="B6" s="11"/>
    </row>
    <row r="7" spans="1:2">
      <c r="A7" s="8" t="s">
        <v>3</v>
      </c>
      <c r="B7" s="15">
        <f t="shared" ref="B7" si="0">SUM(B8:B11)</f>
        <v>0</v>
      </c>
    </row>
    <row r="8" spans="1:2">
      <c r="A8" s="3" t="s">
        <v>4</v>
      </c>
      <c r="B8" s="13"/>
    </row>
    <row r="9" spans="1:2">
      <c r="A9" s="3" t="s">
        <v>5</v>
      </c>
      <c r="B9" s="13"/>
    </row>
    <row r="10" spans="1:2">
      <c r="A10" s="3" t="s">
        <v>333</v>
      </c>
      <c r="B10" s="13"/>
    </row>
    <row r="11" spans="1:2">
      <c r="A11" s="4" t="s">
        <v>334</v>
      </c>
      <c r="B11" s="13"/>
    </row>
    <row r="12" spans="1:2">
      <c r="A12" s="8" t="s">
        <v>6</v>
      </c>
      <c r="B12" s="15">
        <f>SUM(B13:B30)</f>
        <v>0</v>
      </c>
    </row>
    <row r="13" spans="1:2">
      <c r="A13" s="3" t="s">
        <v>7</v>
      </c>
      <c r="B13" s="13"/>
    </row>
    <row r="14" spans="1:2">
      <c r="A14" s="3" t="s">
        <v>8</v>
      </c>
      <c r="B14" s="13"/>
    </row>
    <row r="15" spans="1:2">
      <c r="A15" s="3" t="s">
        <v>9</v>
      </c>
      <c r="B15" s="13"/>
    </row>
    <row r="16" spans="1:2">
      <c r="A16" s="3" t="s">
        <v>10</v>
      </c>
      <c r="B16" s="13"/>
    </row>
    <row r="17" spans="1:2">
      <c r="A17" s="3" t="s">
        <v>11</v>
      </c>
      <c r="B17" s="13"/>
    </row>
    <row r="18" spans="1:2">
      <c r="A18" s="3" t="s">
        <v>12</v>
      </c>
      <c r="B18" s="13"/>
    </row>
    <row r="19" spans="1:2">
      <c r="A19" s="3" t="s">
        <v>13</v>
      </c>
      <c r="B19" s="13"/>
    </row>
    <row r="20" spans="1:2">
      <c r="A20" s="3" t="s">
        <v>14</v>
      </c>
      <c r="B20" s="13"/>
    </row>
    <row r="21" spans="1:2">
      <c r="A21" s="3" t="s">
        <v>15</v>
      </c>
      <c r="B21" s="13"/>
    </row>
    <row r="22" spans="1:2">
      <c r="A22" s="3" t="s">
        <v>16</v>
      </c>
      <c r="B22" s="13"/>
    </row>
    <row r="23" spans="1:2">
      <c r="A23" s="3" t="s">
        <v>17</v>
      </c>
      <c r="B23" s="13"/>
    </row>
    <row r="24" spans="1:2">
      <c r="A24" s="3" t="s">
        <v>18</v>
      </c>
      <c r="B24" s="13"/>
    </row>
    <row r="25" spans="1:2">
      <c r="A25" s="3" t="s">
        <v>19</v>
      </c>
      <c r="B25" s="13"/>
    </row>
    <row r="26" spans="1:2">
      <c r="A26" s="3" t="s">
        <v>20</v>
      </c>
      <c r="B26" s="13"/>
    </row>
    <row r="27" spans="1:2">
      <c r="A27" s="3" t="s">
        <v>21</v>
      </c>
      <c r="B27" s="13"/>
    </row>
    <row r="28" spans="1:2">
      <c r="A28" s="3" t="s">
        <v>22</v>
      </c>
      <c r="B28" s="13"/>
    </row>
    <row r="29" spans="1:2">
      <c r="A29" s="3" t="s">
        <v>23</v>
      </c>
      <c r="B29" s="13"/>
    </row>
    <row r="30" spans="1:2">
      <c r="A30" s="3" t="s">
        <v>24</v>
      </c>
      <c r="B30" s="13"/>
    </row>
    <row r="31" spans="1:2">
      <c r="A31" s="8" t="s">
        <v>25</v>
      </c>
      <c r="B31" s="15">
        <f>SUM(B32:B34)</f>
        <v>0</v>
      </c>
    </row>
    <row r="32" spans="1:2">
      <c r="A32" s="3" t="s">
        <v>26</v>
      </c>
      <c r="B32" s="13"/>
    </row>
    <row r="33" spans="1:2">
      <c r="A33" s="3" t="s">
        <v>27</v>
      </c>
      <c r="B33" s="13"/>
    </row>
    <row r="34" spans="1:2">
      <c r="A34" s="3" t="s">
        <v>28</v>
      </c>
      <c r="B34" s="13"/>
    </row>
    <row r="35" spans="1:2">
      <c r="A35" s="8" t="s">
        <v>29</v>
      </c>
      <c r="B35" s="238">
        <f>SUM(B36:B44)</f>
        <v>0</v>
      </c>
    </row>
    <row r="36" spans="1:2" ht="32">
      <c r="A36" s="9" t="s">
        <v>30</v>
      </c>
      <c r="B36" s="13"/>
    </row>
    <row r="37" spans="1:2">
      <c r="A37" s="9" t="s">
        <v>31</v>
      </c>
      <c r="B37" s="13"/>
    </row>
    <row r="38" spans="1:2" ht="32">
      <c r="A38" s="9" t="s">
        <v>32</v>
      </c>
      <c r="B38" s="13"/>
    </row>
    <row r="39" spans="1:2">
      <c r="A39" s="9" t="s">
        <v>33</v>
      </c>
      <c r="B39" s="13"/>
    </row>
    <row r="40" spans="1:2" ht="32">
      <c r="A40" s="9" t="s">
        <v>34</v>
      </c>
      <c r="B40" s="13"/>
    </row>
    <row r="41" spans="1:2" ht="32">
      <c r="A41" s="9" t="s">
        <v>35</v>
      </c>
      <c r="B41" s="13"/>
    </row>
    <row r="42" spans="1:2" ht="64">
      <c r="A42" s="9" t="s">
        <v>36</v>
      </c>
      <c r="B42" s="13"/>
    </row>
    <row r="43" spans="1:2">
      <c r="A43" s="9" t="s">
        <v>37</v>
      </c>
      <c r="B43" s="13"/>
    </row>
    <row r="44" spans="1:2">
      <c r="A44" s="9" t="s">
        <v>38</v>
      </c>
      <c r="B44" s="13"/>
    </row>
    <row r="45" spans="1:2">
      <c r="A45" s="5" t="s">
        <v>39</v>
      </c>
      <c r="B45" s="14">
        <f>B7+B12+B31+B35</f>
        <v>0</v>
      </c>
    </row>
    <row r="46" spans="1:2">
      <c r="A46" s="6" t="s">
        <v>40</v>
      </c>
      <c r="B46" s="16">
        <f>B2-B45</f>
        <v>0</v>
      </c>
    </row>
    <row r="47" spans="1:2">
      <c r="A47" s="7" t="s">
        <v>41</v>
      </c>
      <c r="B47" s="17" t="e">
        <f>B46/B2*100</f>
        <v>#DIV/0!</v>
      </c>
    </row>
    <row r="48" spans="1:2">
      <c r="A48" s="10"/>
      <c r="B48" s="18"/>
    </row>
    <row r="49" spans="1:2">
      <c r="A49" s="10"/>
      <c r="B49" s="18"/>
    </row>
    <row r="50" spans="1:2">
      <c r="A50" s="10"/>
      <c r="B50" s="18"/>
    </row>
    <row r="51" spans="1:2">
      <c r="A51" s="10"/>
      <c r="B51" s="18"/>
    </row>
    <row r="52" spans="1:2">
      <c r="A52" s="10"/>
      <c r="B52" s="18"/>
    </row>
    <row r="53" spans="1:2">
      <c r="A53" s="10"/>
      <c r="B53" s="18"/>
    </row>
    <row r="54" spans="1:2">
      <c r="A54" s="10"/>
      <c r="B54" s="18"/>
    </row>
    <row r="55" spans="1:2">
      <c r="A55" s="10"/>
      <c r="B55" s="18"/>
    </row>
    <row r="56" spans="1:2">
      <c r="A56" s="10"/>
      <c r="B56" s="18"/>
    </row>
    <row r="57" spans="1:2">
      <c r="A57" s="10"/>
      <c r="B57" s="18"/>
    </row>
    <row r="58" spans="1:2">
      <c r="A58" s="10"/>
      <c r="B58" s="18"/>
    </row>
    <row r="59" spans="1:2">
      <c r="A59" s="10"/>
      <c r="B59" s="18"/>
    </row>
    <row r="60" spans="1:2">
      <c r="A60" s="10"/>
      <c r="B60" s="18"/>
    </row>
    <row r="61" spans="1:2">
      <c r="A61" s="10"/>
      <c r="B61" s="18"/>
    </row>
    <row r="62" spans="1:2">
      <c r="A62" s="10"/>
      <c r="B62" s="18"/>
    </row>
    <row r="63" spans="1:2">
      <c r="A63" s="10"/>
      <c r="B63" s="18"/>
    </row>
    <row r="64" spans="1:2">
      <c r="A64" s="10"/>
      <c r="B64" s="18"/>
    </row>
    <row r="65" spans="1:2">
      <c r="A65" s="10"/>
      <c r="B65" s="18"/>
    </row>
    <row r="66" spans="1:2">
      <c r="A66" s="10"/>
      <c r="B66" s="18"/>
    </row>
    <row r="67" spans="1:2">
      <c r="A67" s="10"/>
      <c r="B67" s="18"/>
    </row>
    <row r="68" spans="1:2">
      <c r="A68" s="10"/>
      <c r="B68" s="18"/>
    </row>
    <row r="69" spans="1:2">
      <c r="A69" s="10"/>
      <c r="B6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99DD-8C85-3844-8D90-F004CF12A335}">
  <dimension ref="A7:Q452"/>
  <sheetViews>
    <sheetView topLeftCell="F1" zoomScaleNormal="70" workbookViewId="0">
      <selection activeCell="E461" sqref="E461"/>
    </sheetView>
  </sheetViews>
  <sheetFormatPr baseColWidth="10" defaultColWidth="9.1640625" defaultRowHeight="16" outlineLevelRow="1"/>
  <cols>
    <col min="1" max="1" width="9.1640625" style="25"/>
    <col min="2" max="2" width="14" style="25" customWidth="1"/>
    <col min="3" max="3" width="9.1640625" style="25"/>
    <col min="4" max="4" width="13.5" style="25" customWidth="1"/>
    <col min="5" max="5" width="49" style="25" customWidth="1"/>
    <col min="6" max="6" width="11.1640625" style="25" customWidth="1"/>
    <col min="7" max="7" width="9.1640625" style="25"/>
    <col min="8" max="9" width="11.5" style="25" customWidth="1"/>
    <col min="10" max="10" width="16.5" style="25" customWidth="1"/>
    <col min="11" max="11" width="14.5" style="25" customWidth="1"/>
    <col min="12" max="12" width="21.5" style="25" customWidth="1"/>
    <col min="13" max="13" width="9.1640625" style="25"/>
    <col min="14" max="14" width="12" style="25" bestFit="1" customWidth="1"/>
    <col min="15" max="15" width="13.5" style="26" customWidth="1"/>
    <col min="16" max="16" width="12.33203125" style="26" bestFit="1" customWidth="1"/>
    <col min="17" max="16384" width="9.1640625" style="25"/>
  </cols>
  <sheetData>
    <row r="7" spans="4:12" ht="18" customHeight="1">
      <c r="D7" s="20" t="s">
        <v>43</v>
      </c>
      <c r="E7" s="20"/>
      <c r="F7" s="20"/>
      <c r="G7" s="21"/>
      <c r="H7" s="22"/>
      <c r="I7" s="23"/>
      <c r="J7" s="23"/>
      <c r="K7" s="23"/>
      <c r="L7" s="24"/>
    </row>
    <row r="8" spans="4:12" ht="15" customHeight="1">
      <c r="D8" s="27" t="s">
        <v>44</v>
      </c>
      <c r="E8" s="27"/>
      <c r="F8" s="27"/>
      <c r="G8" s="28"/>
      <c r="H8" s="29"/>
      <c r="I8" s="23"/>
      <c r="J8" s="23"/>
      <c r="K8" s="23"/>
      <c r="L8" s="24"/>
    </row>
    <row r="9" spans="4:12" ht="18" customHeight="1">
      <c r="D9" s="20" t="s">
        <v>45</v>
      </c>
      <c r="E9" s="20"/>
      <c r="F9" s="20"/>
      <c r="G9" s="21"/>
      <c r="H9" s="22"/>
      <c r="I9" s="23"/>
      <c r="J9" s="23"/>
      <c r="K9" s="23"/>
      <c r="L9" s="24"/>
    </row>
    <row r="10" spans="4:12" ht="18" customHeight="1">
      <c r="D10" s="27" t="s">
        <v>44</v>
      </c>
      <c r="E10" s="27"/>
      <c r="F10" s="27"/>
      <c r="G10" s="28"/>
      <c r="H10" s="29"/>
      <c r="I10" s="30"/>
      <c r="J10" s="31"/>
      <c r="K10" s="32"/>
      <c r="L10" s="33"/>
    </row>
    <row r="11" spans="4:12">
      <c r="D11" s="34"/>
      <c r="E11" s="34"/>
      <c r="F11" s="34"/>
      <c r="G11" s="34"/>
      <c r="H11" s="34"/>
      <c r="I11" s="34"/>
      <c r="J11" s="34"/>
      <c r="K11" s="34"/>
      <c r="L11" s="34"/>
    </row>
    <row r="12" spans="4:12" ht="18" customHeight="1">
      <c r="D12" s="35" t="s">
        <v>46</v>
      </c>
      <c r="E12" s="35"/>
      <c r="F12" s="35"/>
      <c r="G12" s="35"/>
      <c r="H12" s="35"/>
      <c r="I12" s="35"/>
      <c r="J12" s="35"/>
      <c r="K12" s="35"/>
      <c r="L12" s="35"/>
    </row>
    <row r="13" spans="4:12">
      <c r="D13" s="34"/>
      <c r="E13" s="34"/>
      <c r="F13" s="34"/>
      <c r="G13" s="34"/>
      <c r="H13" s="34"/>
      <c r="I13" s="34"/>
      <c r="J13" s="34"/>
      <c r="K13" s="34"/>
      <c r="L13" s="34"/>
    </row>
    <row r="14" spans="4:12">
      <c r="D14" s="36" t="s">
        <v>47</v>
      </c>
      <c r="E14" s="36"/>
      <c r="F14" s="36"/>
      <c r="G14" s="36"/>
      <c r="H14" s="37"/>
      <c r="I14" s="36"/>
      <c r="J14" s="36"/>
      <c r="K14" s="36"/>
      <c r="L14" s="36"/>
    </row>
    <row r="15" spans="4:12" ht="17" thickBot="1">
      <c r="D15" s="38" t="s">
        <v>48</v>
      </c>
      <c r="E15" s="38"/>
      <c r="F15" s="38"/>
      <c r="G15" s="38"/>
      <c r="H15" s="39"/>
      <c r="I15" s="38"/>
      <c r="J15" s="38"/>
      <c r="K15" s="38"/>
      <c r="L15" s="38"/>
    </row>
    <row r="16" spans="4:12" ht="17" thickBot="1">
      <c r="D16" s="40"/>
      <c r="E16" s="41"/>
      <c r="F16" s="41"/>
      <c r="G16" s="41"/>
      <c r="H16" s="41"/>
      <c r="I16" s="41"/>
      <c r="J16" s="41"/>
      <c r="K16" s="41"/>
      <c r="L16" s="42"/>
    </row>
    <row r="17" spans="4:16" ht="15" customHeight="1">
      <c r="D17" s="43" t="s">
        <v>49</v>
      </c>
      <c r="E17" s="44" t="s">
        <v>50</v>
      </c>
      <c r="F17" s="44" t="s">
        <v>51</v>
      </c>
      <c r="G17" s="45" t="s">
        <v>52</v>
      </c>
      <c r="H17" s="46" t="s">
        <v>53</v>
      </c>
      <c r="I17" s="47" t="s">
        <v>54</v>
      </c>
      <c r="J17" s="48" t="s">
        <v>55</v>
      </c>
      <c r="K17" s="49" t="s">
        <v>56</v>
      </c>
      <c r="L17" s="50" t="s">
        <v>57</v>
      </c>
    </row>
    <row r="18" spans="4:16" ht="30.75" customHeight="1" thickBot="1">
      <c r="D18" s="51"/>
      <c r="E18" s="52" t="s">
        <v>58</v>
      </c>
      <c r="F18" s="52"/>
      <c r="G18" s="53"/>
      <c r="H18" s="54"/>
      <c r="I18" s="55"/>
      <c r="J18" s="56"/>
      <c r="K18" s="57"/>
      <c r="L18" s="58"/>
    </row>
    <row r="19" spans="4:16" ht="17" thickBot="1">
      <c r="D19" s="59"/>
      <c r="E19" s="60" t="s">
        <v>59</v>
      </c>
      <c r="F19" s="61"/>
      <c r="G19" s="62"/>
      <c r="H19" s="62"/>
      <c r="I19" s="63"/>
      <c r="J19" s="64"/>
      <c r="K19" s="62"/>
      <c r="L19" s="65"/>
    </row>
    <row r="20" spans="4:16" ht="17" thickBot="1">
      <c r="D20" s="59"/>
      <c r="E20" s="60" t="s">
        <v>60</v>
      </c>
      <c r="F20" s="61"/>
      <c r="G20" s="62"/>
      <c r="H20" s="62"/>
      <c r="I20" s="63"/>
      <c r="J20" s="64"/>
      <c r="K20" s="62"/>
      <c r="L20" s="65"/>
    </row>
    <row r="21" spans="4:16" ht="27" customHeight="1">
      <c r="D21" s="66" t="s">
        <v>61</v>
      </c>
      <c r="E21" s="67" t="s">
        <v>62</v>
      </c>
      <c r="F21" s="68" t="s">
        <v>63</v>
      </c>
      <c r="G21" s="69"/>
      <c r="H21" s="70">
        <v>695.52</v>
      </c>
      <c r="I21" s="71"/>
      <c r="J21" s="72"/>
      <c r="K21" s="73">
        <v>250</v>
      </c>
      <c r="L21" s="74">
        <f>H21*K21</f>
        <v>173880</v>
      </c>
      <c r="O21" s="26">
        <v>150</v>
      </c>
      <c r="P21" s="26">
        <f t="shared" ref="P21:P84" si="0">O21*H21</f>
        <v>104328</v>
      </c>
    </row>
    <row r="22" spans="4:16" ht="20" hidden="1" customHeight="1" outlineLevel="1">
      <c r="D22" s="75"/>
      <c r="E22" s="76" t="s">
        <v>64</v>
      </c>
      <c r="F22" s="77" t="s">
        <v>63</v>
      </c>
      <c r="G22" s="78">
        <v>1.05</v>
      </c>
      <c r="H22" s="79">
        <f>G22*H21</f>
        <v>730.29600000000005</v>
      </c>
      <c r="I22" s="80">
        <v>455.65</v>
      </c>
      <c r="J22" s="81">
        <f>H22*I22</f>
        <v>332759.37239999999</v>
      </c>
      <c r="K22" s="82"/>
      <c r="L22" s="74"/>
      <c r="P22" s="26">
        <f t="shared" si="0"/>
        <v>0</v>
      </c>
    </row>
    <row r="23" spans="4:16" ht="20" hidden="1" customHeight="1" outlineLevel="1">
      <c r="D23" s="75"/>
      <c r="E23" s="76" t="s">
        <v>65</v>
      </c>
      <c r="F23" s="77" t="s">
        <v>66</v>
      </c>
      <c r="G23" s="78">
        <v>0.15</v>
      </c>
      <c r="H23" s="79">
        <f>G23*H21</f>
        <v>104.32799999999999</v>
      </c>
      <c r="I23" s="80">
        <v>25</v>
      </c>
      <c r="J23" s="81">
        <f>H23*I23</f>
        <v>2608.1999999999998</v>
      </c>
      <c r="K23" s="82"/>
      <c r="L23" s="74"/>
      <c r="P23" s="26">
        <f t="shared" si="0"/>
        <v>0</v>
      </c>
    </row>
    <row r="24" spans="4:16" ht="20" hidden="1" customHeight="1" outlineLevel="1">
      <c r="D24" s="75"/>
      <c r="E24" s="76" t="s">
        <v>67</v>
      </c>
      <c r="F24" s="77" t="s">
        <v>68</v>
      </c>
      <c r="G24" s="78">
        <v>11</v>
      </c>
      <c r="H24" s="79">
        <f>ROUND(G24*H21,0)</f>
        <v>7651</v>
      </c>
      <c r="I24" s="80">
        <v>6.48</v>
      </c>
      <c r="J24" s="81">
        <f>H24*I24</f>
        <v>49578.48</v>
      </c>
      <c r="K24" s="82"/>
      <c r="L24" s="74"/>
      <c r="P24" s="26">
        <f t="shared" si="0"/>
        <v>0</v>
      </c>
    </row>
    <row r="25" spans="4:16" ht="20" hidden="1" customHeight="1" outlineLevel="1">
      <c r="D25" s="75"/>
      <c r="E25" s="76" t="s">
        <v>69</v>
      </c>
      <c r="F25" s="77" t="s">
        <v>70</v>
      </c>
      <c r="G25" s="78">
        <v>8</v>
      </c>
      <c r="H25" s="79">
        <f>ROUND(G25*H21,0)</f>
        <v>5564</v>
      </c>
      <c r="I25" s="80">
        <v>8.52</v>
      </c>
      <c r="J25" s="81">
        <f>H25*I25</f>
        <v>47405.279999999999</v>
      </c>
      <c r="K25" s="82"/>
      <c r="L25" s="74"/>
      <c r="P25" s="26">
        <f t="shared" si="0"/>
        <v>0</v>
      </c>
    </row>
    <row r="26" spans="4:16" ht="27.75" customHeight="1" collapsed="1">
      <c r="D26" s="66" t="s">
        <v>71</v>
      </c>
      <c r="E26" s="67" t="s">
        <v>72</v>
      </c>
      <c r="F26" s="68" t="s">
        <v>63</v>
      </c>
      <c r="G26" s="69"/>
      <c r="H26" s="70">
        <v>26.48</v>
      </c>
      <c r="I26" s="71"/>
      <c r="J26" s="72"/>
      <c r="K26" s="73">
        <v>250</v>
      </c>
      <c r="L26" s="74">
        <f>H26*K26</f>
        <v>6620</v>
      </c>
      <c r="O26" s="26">
        <v>150</v>
      </c>
      <c r="P26" s="26">
        <f t="shared" si="0"/>
        <v>3972</v>
      </c>
    </row>
    <row r="27" spans="4:16" ht="20" hidden="1" customHeight="1" outlineLevel="1">
      <c r="D27" s="75"/>
      <c r="E27" s="76" t="s">
        <v>73</v>
      </c>
      <c r="F27" s="77" t="s">
        <v>63</v>
      </c>
      <c r="G27" s="78">
        <v>1.05</v>
      </c>
      <c r="H27" s="79">
        <f>G27*H26</f>
        <v>27.804000000000002</v>
      </c>
      <c r="I27" s="80">
        <v>694.92</v>
      </c>
      <c r="J27" s="81">
        <f>H27*I27</f>
        <v>19321.555680000001</v>
      </c>
      <c r="K27" s="82"/>
      <c r="L27" s="74"/>
      <c r="P27" s="26">
        <f t="shared" si="0"/>
        <v>0</v>
      </c>
    </row>
    <row r="28" spans="4:16" ht="20" hidden="1" customHeight="1" outlineLevel="1">
      <c r="D28" s="75"/>
      <c r="E28" s="76" t="s">
        <v>65</v>
      </c>
      <c r="F28" s="77" t="s">
        <v>66</v>
      </c>
      <c r="G28" s="78">
        <v>0.15</v>
      </c>
      <c r="H28" s="79">
        <f>G28*H26</f>
        <v>3.972</v>
      </c>
      <c r="I28" s="80">
        <v>25</v>
      </c>
      <c r="J28" s="81">
        <f>H28*I28</f>
        <v>99.3</v>
      </c>
      <c r="K28" s="82"/>
      <c r="L28" s="74"/>
      <c r="P28" s="26">
        <f t="shared" si="0"/>
        <v>0</v>
      </c>
    </row>
    <row r="29" spans="4:16" ht="20" hidden="1" customHeight="1" outlineLevel="1">
      <c r="D29" s="75"/>
      <c r="E29" s="76" t="s">
        <v>67</v>
      </c>
      <c r="F29" s="77" t="s">
        <v>68</v>
      </c>
      <c r="G29" s="78">
        <v>11</v>
      </c>
      <c r="H29" s="79">
        <f>ROUND(G29*H26,0)</f>
        <v>291</v>
      </c>
      <c r="I29" s="80">
        <v>6.48</v>
      </c>
      <c r="J29" s="81">
        <f>H29*I29</f>
        <v>1885.68</v>
      </c>
      <c r="K29" s="82"/>
      <c r="L29" s="74"/>
      <c r="P29" s="26">
        <f t="shared" si="0"/>
        <v>0</v>
      </c>
    </row>
    <row r="30" spans="4:16" ht="20" hidden="1" customHeight="1" outlineLevel="1">
      <c r="D30" s="75"/>
      <c r="E30" s="76" t="s">
        <v>69</v>
      </c>
      <c r="F30" s="77" t="s">
        <v>70</v>
      </c>
      <c r="G30" s="78">
        <v>8</v>
      </c>
      <c r="H30" s="79">
        <f>ROUND(G30*H26,0)</f>
        <v>212</v>
      </c>
      <c r="I30" s="80">
        <v>8.52</v>
      </c>
      <c r="J30" s="81">
        <f>H30*I30</f>
        <v>1806.24</v>
      </c>
      <c r="K30" s="82"/>
      <c r="L30" s="74"/>
      <c r="P30" s="26">
        <f t="shared" si="0"/>
        <v>0</v>
      </c>
    </row>
    <row r="31" spans="4:16" ht="27" customHeight="1" collapsed="1" thickBot="1">
      <c r="D31" s="66" t="s">
        <v>74</v>
      </c>
      <c r="E31" s="67" t="s">
        <v>75</v>
      </c>
      <c r="F31" s="68" t="s">
        <v>63</v>
      </c>
      <c r="G31" s="69"/>
      <c r="H31" s="70">
        <f>H21+H26</f>
        <v>722</v>
      </c>
      <c r="I31" s="71"/>
      <c r="J31" s="72"/>
      <c r="K31" s="73">
        <v>500</v>
      </c>
      <c r="L31" s="74">
        <f>H31*K31</f>
        <v>361000</v>
      </c>
      <c r="O31" s="26">
        <v>300</v>
      </c>
      <c r="P31" s="26">
        <f t="shared" si="0"/>
        <v>216600</v>
      </c>
    </row>
    <row r="32" spans="4:16" ht="20" hidden="1" customHeight="1" outlineLevel="1">
      <c r="D32" s="75"/>
      <c r="E32" s="76" t="s">
        <v>76</v>
      </c>
      <c r="F32" s="77" t="s">
        <v>68</v>
      </c>
      <c r="G32" s="78">
        <v>12</v>
      </c>
      <c r="H32" s="79">
        <f>G32*H31</f>
        <v>8664</v>
      </c>
      <c r="I32" s="80">
        <v>7.87</v>
      </c>
      <c r="J32" s="81">
        <f>H32*I32</f>
        <v>68185.680000000008</v>
      </c>
      <c r="K32" s="82"/>
      <c r="L32" s="83"/>
      <c r="P32" s="26">
        <f t="shared" si="0"/>
        <v>0</v>
      </c>
    </row>
    <row r="33" spans="4:16" ht="20" hidden="1" customHeight="1" outlineLevel="1">
      <c r="D33" s="75"/>
      <c r="E33" s="76" t="s">
        <v>77</v>
      </c>
      <c r="F33" s="77" t="s">
        <v>63</v>
      </c>
      <c r="G33" s="78">
        <v>1.1499999999999999</v>
      </c>
      <c r="H33" s="79">
        <f>G33*H31</f>
        <v>830.3</v>
      </c>
      <c r="I33" s="80">
        <v>32</v>
      </c>
      <c r="J33" s="81">
        <f>H33*I33</f>
        <v>26569.599999999999</v>
      </c>
      <c r="K33" s="82"/>
      <c r="L33" s="83"/>
      <c r="P33" s="26">
        <f t="shared" si="0"/>
        <v>0</v>
      </c>
    </row>
    <row r="34" spans="4:16" ht="20" hidden="1" customHeight="1" outlineLevel="1">
      <c r="D34" s="75"/>
      <c r="E34" s="76" t="s">
        <v>78</v>
      </c>
      <c r="F34" s="77" t="s">
        <v>63</v>
      </c>
      <c r="G34" s="78">
        <v>1.1499999999999999</v>
      </c>
      <c r="H34" s="79">
        <f>G34*H31</f>
        <v>830.3</v>
      </c>
      <c r="I34" s="80">
        <v>71.88</v>
      </c>
      <c r="J34" s="81">
        <f>H34*I34</f>
        <v>59681.963999999993</v>
      </c>
      <c r="K34" s="82"/>
      <c r="L34" s="83"/>
      <c r="P34" s="26">
        <f t="shared" si="0"/>
        <v>0</v>
      </c>
    </row>
    <row r="35" spans="4:16" ht="28.5" customHeight="1" collapsed="1" thickBot="1">
      <c r="D35" s="84"/>
      <c r="E35" s="85" t="s">
        <v>79</v>
      </c>
      <c r="F35" s="86"/>
      <c r="G35" s="87"/>
      <c r="H35" s="87"/>
      <c r="I35" s="88"/>
      <c r="J35" s="89"/>
      <c r="K35" s="87"/>
      <c r="L35" s="90"/>
      <c r="P35" s="26">
        <f t="shared" si="0"/>
        <v>0</v>
      </c>
    </row>
    <row r="36" spans="4:16" ht="33" customHeight="1" thickBot="1">
      <c r="D36" s="66" t="s">
        <v>61</v>
      </c>
      <c r="E36" s="67" t="s">
        <v>80</v>
      </c>
      <c r="F36" s="68" t="s">
        <v>63</v>
      </c>
      <c r="G36" s="69"/>
      <c r="H36" s="91">
        <v>722</v>
      </c>
      <c r="I36" s="71"/>
      <c r="J36" s="72"/>
      <c r="K36" s="73">
        <v>940</v>
      </c>
      <c r="L36" s="74">
        <f>H36*K36</f>
        <v>678680</v>
      </c>
      <c r="O36" s="26">
        <v>1000</v>
      </c>
      <c r="P36" s="26">
        <f t="shared" si="0"/>
        <v>722000</v>
      </c>
    </row>
    <row r="37" spans="4:16" ht="20" hidden="1" customHeight="1" outlineLevel="1">
      <c r="D37" s="75"/>
      <c r="E37" s="76" t="s">
        <v>81</v>
      </c>
      <c r="F37" s="77" t="s">
        <v>68</v>
      </c>
      <c r="G37" s="78">
        <v>0.15</v>
      </c>
      <c r="H37" s="79">
        <f>H36*G37</f>
        <v>108.3</v>
      </c>
      <c r="I37" s="80">
        <v>48.576000000000001</v>
      </c>
      <c r="J37" s="81">
        <f>H37*I37</f>
        <v>5260.7807999999995</v>
      </c>
      <c r="K37" s="82"/>
      <c r="L37" s="83"/>
      <c r="P37" s="26">
        <f t="shared" si="0"/>
        <v>0</v>
      </c>
    </row>
    <row r="38" spans="4:16" ht="20" hidden="1" customHeight="1" outlineLevel="1">
      <c r="D38" s="75"/>
      <c r="E38" s="76" t="s">
        <v>82</v>
      </c>
      <c r="F38" s="77" t="s">
        <v>68</v>
      </c>
      <c r="G38" s="78">
        <v>3.8</v>
      </c>
      <c r="H38" s="79">
        <f>H36*G38</f>
        <v>2743.6</v>
      </c>
      <c r="I38" s="80">
        <v>13.93</v>
      </c>
      <c r="J38" s="81">
        <f>H38*I38</f>
        <v>38218.347999999998</v>
      </c>
      <c r="K38" s="82"/>
      <c r="L38" s="83"/>
      <c r="P38" s="26">
        <f t="shared" si="0"/>
        <v>0</v>
      </c>
    </row>
    <row r="39" spans="4:16" ht="20" hidden="1" customHeight="1" outlineLevel="1">
      <c r="D39" s="75"/>
      <c r="E39" s="76" t="s">
        <v>83</v>
      </c>
      <c r="F39" s="77" t="s">
        <v>68</v>
      </c>
      <c r="G39" s="78">
        <v>5.5</v>
      </c>
      <c r="H39" s="79">
        <f>H36*G39</f>
        <v>3971</v>
      </c>
      <c r="I39" s="80">
        <v>22.973600000000001</v>
      </c>
      <c r="J39" s="81">
        <f>H39*I39</f>
        <v>91228.165600000008</v>
      </c>
      <c r="K39" s="82"/>
      <c r="L39" s="83"/>
      <c r="P39" s="26">
        <f t="shared" si="0"/>
        <v>0</v>
      </c>
    </row>
    <row r="40" spans="4:16" ht="20" hidden="1" customHeight="1" outlineLevel="1">
      <c r="D40" s="75"/>
      <c r="E40" s="76" t="s">
        <v>84</v>
      </c>
      <c r="F40" s="77" t="s">
        <v>63</v>
      </c>
      <c r="G40" s="78">
        <v>1.05</v>
      </c>
      <c r="H40" s="79">
        <f>H36*G40</f>
        <v>758.1</v>
      </c>
      <c r="I40" s="80">
        <v>684</v>
      </c>
      <c r="J40" s="81">
        <f>H40*I40</f>
        <v>518540.4</v>
      </c>
      <c r="K40" s="82"/>
      <c r="L40" s="83"/>
      <c r="P40" s="26">
        <f t="shared" si="0"/>
        <v>0</v>
      </c>
    </row>
    <row r="41" spans="4:16" ht="20" customHeight="1" collapsed="1" thickBot="1">
      <c r="D41" s="84"/>
      <c r="E41" s="85" t="s">
        <v>85</v>
      </c>
      <c r="F41" s="86"/>
      <c r="G41" s="87"/>
      <c r="H41" s="87"/>
      <c r="I41" s="88"/>
      <c r="J41" s="89"/>
      <c r="K41" s="87"/>
      <c r="L41" s="90"/>
      <c r="P41" s="26">
        <f t="shared" si="0"/>
        <v>0</v>
      </c>
    </row>
    <row r="42" spans="4:16" ht="29.25" customHeight="1">
      <c r="D42" s="66" t="s">
        <v>61</v>
      </c>
      <c r="E42" s="67" t="s">
        <v>86</v>
      </c>
      <c r="F42" s="68" t="s">
        <v>63</v>
      </c>
      <c r="G42" s="69"/>
      <c r="H42" s="91">
        <v>168.73</v>
      </c>
      <c r="I42" s="71"/>
      <c r="J42" s="72"/>
      <c r="K42" s="73">
        <v>1500</v>
      </c>
      <c r="L42" s="74">
        <f>H42*K42</f>
        <v>253094.99999999997</v>
      </c>
      <c r="O42" s="26">
        <v>300</v>
      </c>
      <c r="P42" s="26">
        <f t="shared" si="0"/>
        <v>50619</v>
      </c>
    </row>
    <row r="43" spans="4:16" ht="20" hidden="1" customHeight="1" outlineLevel="1">
      <c r="D43" s="75"/>
      <c r="E43" s="76" t="s">
        <v>76</v>
      </c>
      <c r="F43" s="77" t="s">
        <v>68</v>
      </c>
      <c r="G43" s="78">
        <v>12</v>
      </c>
      <c r="H43" s="79">
        <f>G43*H42</f>
        <v>2024.7599999999998</v>
      </c>
      <c r="I43" s="80">
        <v>7.87</v>
      </c>
      <c r="J43" s="81">
        <f>H43*I43</f>
        <v>15934.861199999998</v>
      </c>
      <c r="K43" s="82"/>
      <c r="L43" s="74"/>
      <c r="P43" s="26">
        <f t="shared" si="0"/>
        <v>0</v>
      </c>
    </row>
    <row r="44" spans="4:16" ht="20" hidden="1" customHeight="1" outlineLevel="1">
      <c r="D44" s="75"/>
      <c r="E44" s="76" t="s">
        <v>77</v>
      </c>
      <c r="F44" s="77" t="s">
        <v>63</v>
      </c>
      <c r="G44" s="78">
        <v>1.1499999999999999</v>
      </c>
      <c r="H44" s="79">
        <f>G44*H42</f>
        <v>194.03949999999998</v>
      </c>
      <c r="I44" s="80">
        <v>32</v>
      </c>
      <c r="J44" s="81">
        <f>H44*I44</f>
        <v>6209.2639999999992</v>
      </c>
      <c r="K44" s="82"/>
      <c r="L44" s="74"/>
      <c r="P44" s="26">
        <f t="shared" si="0"/>
        <v>0</v>
      </c>
    </row>
    <row r="45" spans="4:16" ht="20" hidden="1" customHeight="1" outlineLevel="1">
      <c r="D45" s="75"/>
      <c r="E45" s="76" t="s">
        <v>78</v>
      </c>
      <c r="F45" s="77" t="s">
        <v>63</v>
      </c>
      <c r="G45" s="78">
        <v>1.1499999999999999</v>
      </c>
      <c r="H45" s="79">
        <f>G45*H42</f>
        <v>194.03949999999998</v>
      </c>
      <c r="I45" s="80">
        <v>71.88</v>
      </c>
      <c r="J45" s="81">
        <f>H45*I45</f>
        <v>13947.559259999998</v>
      </c>
      <c r="K45" s="82"/>
      <c r="L45" s="74"/>
      <c r="P45" s="26">
        <f t="shared" si="0"/>
        <v>0</v>
      </c>
    </row>
    <row r="46" spans="4:16" ht="20" hidden="1" customHeight="1" outlineLevel="1">
      <c r="D46" s="75"/>
      <c r="E46" s="76" t="s">
        <v>87</v>
      </c>
      <c r="F46" s="77" t="s">
        <v>88</v>
      </c>
      <c r="G46" s="78">
        <v>1.1000000000000001</v>
      </c>
      <c r="H46" s="79">
        <f>G46*(674.7)</f>
        <v>742.17000000000007</v>
      </c>
      <c r="I46" s="80">
        <v>31</v>
      </c>
      <c r="J46" s="81">
        <f>H46*I46</f>
        <v>23007.270000000004</v>
      </c>
      <c r="K46" s="82"/>
      <c r="L46" s="74"/>
      <c r="P46" s="26">
        <f t="shared" si="0"/>
        <v>0</v>
      </c>
    </row>
    <row r="47" spans="4:16" ht="20" hidden="1" customHeight="1" outlineLevel="1">
      <c r="D47" s="75"/>
      <c r="E47" s="76" t="s">
        <v>89</v>
      </c>
      <c r="F47" s="77" t="s">
        <v>88</v>
      </c>
      <c r="G47" s="78">
        <v>1.1000000000000001</v>
      </c>
      <c r="H47" s="79">
        <f>G47*958.16</f>
        <v>1053.9760000000001</v>
      </c>
      <c r="I47" s="80">
        <v>9.6</v>
      </c>
      <c r="J47" s="81">
        <f>H47*I47</f>
        <v>10118.169600000001</v>
      </c>
      <c r="K47" s="82"/>
      <c r="L47" s="74"/>
      <c r="P47" s="26">
        <f t="shared" si="0"/>
        <v>0</v>
      </c>
    </row>
    <row r="48" spans="4:16" ht="38.25" customHeight="1" collapsed="1" thickBot="1">
      <c r="D48" s="66" t="s">
        <v>71</v>
      </c>
      <c r="E48" s="67" t="s">
        <v>90</v>
      </c>
      <c r="F48" s="68" t="s">
        <v>63</v>
      </c>
      <c r="G48" s="69"/>
      <c r="H48" s="91">
        <v>168.74</v>
      </c>
      <c r="I48" s="71"/>
      <c r="J48" s="72"/>
      <c r="K48" s="73">
        <v>1500</v>
      </c>
      <c r="L48" s="74">
        <f>H48*K48</f>
        <v>253110</v>
      </c>
      <c r="O48" s="26">
        <v>1000</v>
      </c>
      <c r="P48" s="26">
        <f t="shared" si="0"/>
        <v>168740</v>
      </c>
    </row>
    <row r="49" spans="4:16" ht="20" hidden="1" customHeight="1" outlineLevel="1">
      <c r="D49" s="75"/>
      <c r="E49" s="76" t="s">
        <v>81</v>
      </c>
      <c r="F49" s="77" t="s">
        <v>68</v>
      </c>
      <c r="G49" s="78">
        <v>0.15</v>
      </c>
      <c r="H49" s="79">
        <f>H48*G49</f>
        <v>25.311</v>
      </c>
      <c r="I49" s="80">
        <v>48.576000000000001</v>
      </c>
      <c r="J49" s="81">
        <f>H49*I49</f>
        <v>1229.5071359999999</v>
      </c>
      <c r="K49" s="82"/>
      <c r="L49" s="83"/>
      <c r="P49" s="26">
        <f t="shared" si="0"/>
        <v>0</v>
      </c>
    </row>
    <row r="50" spans="4:16" ht="20" hidden="1" customHeight="1" outlineLevel="1">
      <c r="D50" s="75"/>
      <c r="E50" s="76" t="s">
        <v>82</v>
      </c>
      <c r="F50" s="77" t="s">
        <v>68</v>
      </c>
      <c r="G50" s="78">
        <v>3.8</v>
      </c>
      <c r="H50" s="79">
        <f>H48*G50</f>
        <v>641.21199999999999</v>
      </c>
      <c r="I50" s="80">
        <v>13.93</v>
      </c>
      <c r="J50" s="81">
        <f>H50*I50</f>
        <v>8932.0831600000001</v>
      </c>
      <c r="K50" s="82"/>
      <c r="L50" s="83"/>
      <c r="P50" s="26">
        <f t="shared" si="0"/>
        <v>0</v>
      </c>
    </row>
    <row r="51" spans="4:16" ht="20" hidden="1" customHeight="1" outlineLevel="1">
      <c r="D51" s="75"/>
      <c r="E51" s="76" t="s">
        <v>83</v>
      </c>
      <c r="F51" s="77" t="s">
        <v>68</v>
      </c>
      <c r="G51" s="78">
        <v>5.5</v>
      </c>
      <c r="H51" s="79">
        <f>H48*G51</f>
        <v>928.07</v>
      </c>
      <c r="I51" s="80">
        <v>22.973600000000001</v>
      </c>
      <c r="J51" s="81">
        <f>H51*I51</f>
        <v>21321.108952000002</v>
      </c>
      <c r="K51" s="82"/>
      <c r="L51" s="83"/>
      <c r="P51" s="26">
        <f t="shared" si="0"/>
        <v>0</v>
      </c>
    </row>
    <row r="52" spans="4:16" ht="20" hidden="1" customHeight="1" outlineLevel="1">
      <c r="D52" s="75"/>
      <c r="E52" s="76" t="s">
        <v>84</v>
      </c>
      <c r="F52" s="77" t="s">
        <v>63</v>
      </c>
      <c r="G52" s="78">
        <v>1.0509999999999999</v>
      </c>
      <c r="H52" s="79">
        <f>H48*G52</f>
        <v>177.34574000000001</v>
      </c>
      <c r="I52" s="80">
        <v>684</v>
      </c>
      <c r="J52" s="81">
        <f>H52*I52</f>
        <v>121304.48616</v>
      </c>
      <c r="K52" s="82"/>
      <c r="L52" s="83"/>
      <c r="P52" s="26">
        <f t="shared" si="0"/>
        <v>0</v>
      </c>
    </row>
    <row r="53" spans="4:16" ht="20" customHeight="1" collapsed="1" thickBot="1">
      <c r="D53" s="59"/>
      <c r="E53" s="60" t="s">
        <v>91</v>
      </c>
      <c r="F53" s="61"/>
      <c r="G53" s="62"/>
      <c r="H53" s="62"/>
      <c r="I53" s="63"/>
      <c r="J53" s="64"/>
      <c r="K53" s="62"/>
      <c r="L53" s="65"/>
      <c r="P53" s="26">
        <f t="shared" si="0"/>
        <v>0</v>
      </c>
    </row>
    <row r="54" spans="4:16" ht="27" customHeight="1">
      <c r="D54" s="66" t="s">
        <v>61</v>
      </c>
      <c r="E54" s="67" t="s">
        <v>62</v>
      </c>
      <c r="F54" s="68" t="s">
        <v>63</v>
      </c>
      <c r="G54" s="69"/>
      <c r="H54" s="70">
        <v>47.67</v>
      </c>
      <c r="I54" s="71"/>
      <c r="J54" s="72"/>
      <c r="K54" s="73">
        <v>250</v>
      </c>
      <c r="L54" s="74">
        <f>H54*K54</f>
        <v>11917.5</v>
      </c>
      <c r="O54" s="26">
        <v>150</v>
      </c>
      <c r="P54" s="26">
        <f t="shared" si="0"/>
        <v>7150.5</v>
      </c>
    </row>
    <row r="55" spans="4:16" ht="20" hidden="1" customHeight="1" outlineLevel="1">
      <c r="D55" s="75"/>
      <c r="E55" s="76" t="s">
        <v>64</v>
      </c>
      <c r="F55" s="77" t="s">
        <v>63</v>
      </c>
      <c r="G55" s="78">
        <v>1.05</v>
      </c>
      <c r="H55" s="79">
        <f>G55*H54</f>
        <v>50.053500000000007</v>
      </c>
      <c r="I55" s="80">
        <v>455.65</v>
      </c>
      <c r="J55" s="81">
        <f>H55*I55</f>
        <v>22806.877275000003</v>
      </c>
      <c r="K55" s="82"/>
      <c r="L55" s="74"/>
      <c r="P55" s="26">
        <f t="shared" si="0"/>
        <v>0</v>
      </c>
    </row>
    <row r="56" spans="4:16" ht="20" hidden="1" customHeight="1" outlineLevel="1">
      <c r="D56" s="75"/>
      <c r="E56" s="76" t="s">
        <v>65</v>
      </c>
      <c r="F56" s="77" t="s">
        <v>66</v>
      </c>
      <c r="G56" s="78">
        <v>0.15</v>
      </c>
      <c r="H56" s="79">
        <f>G56*H54</f>
        <v>7.1505000000000001</v>
      </c>
      <c r="I56" s="80">
        <v>25</v>
      </c>
      <c r="J56" s="81">
        <f>H56*I56</f>
        <v>178.76249999999999</v>
      </c>
      <c r="K56" s="82"/>
      <c r="L56" s="74"/>
      <c r="P56" s="26">
        <f t="shared" si="0"/>
        <v>0</v>
      </c>
    </row>
    <row r="57" spans="4:16" ht="31.5" hidden="1" customHeight="1" outlineLevel="1">
      <c r="D57" s="75"/>
      <c r="E57" s="76" t="s">
        <v>67</v>
      </c>
      <c r="F57" s="77" t="s">
        <v>68</v>
      </c>
      <c r="G57" s="78">
        <v>11</v>
      </c>
      <c r="H57" s="79">
        <f>ROUND(G57*H54,0)</f>
        <v>524</v>
      </c>
      <c r="I57" s="80">
        <v>6.48</v>
      </c>
      <c r="J57" s="81">
        <f>H57*I57</f>
        <v>3395.5200000000004</v>
      </c>
      <c r="K57" s="82"/>
      <c r="L57" s="74"/>
      <c r="P57" s="26">
        <f t="shared" si="0"/>
        <v>0</v>
      </c>
    </row>
    <row r="58" spans="4:16" ht="30" hidden="1" customHeight="1" outlineLevel="1">
      <c r="D58" s="75"/>
      <c r="E58" s="76" t="s">
        <v>69</v>
      </c>
      <c r="F58" s="77" t="s">
        <v>70</v>
      </c>
      <c r="G58" s="78">
        <v>8</v>
      </c>
      <c r="H58" s="79">
        <f>ROUND(G58*H54,0)</f>
        <v>381</v>
      </c>
      <c r="I58" s="80">
        <v>8.52</v>
      </c>
      <c r="J58" s="81">
        <f>H58*I58</f>
        <v>3246.12</v>
      </c>
      <c r="K58" s="82"/>
      <c r="L58" s="74"/>
      <c r="P58" s="26">
        <f t="shared" si="0"/>
        <v>0</v>
      </c>
    </row>
    <row r="59" spans="4:16" ht="30" customHeight="1" collapsed="1" thickBot="1">
      <c r="D59" s="66" t="s">
        <v>74</v>
      </c>
      <c r="E59" s="67" t="s">
        <v>75</v>
      </c>
      <c r="F59" s="68" t="s">
        <v>63</v>
      </c>
      <c r="G59" s="69"/>
      <c r="H59" s="70">
        <v>47.67</v>
      </c>
      <c r="I59" s="71"/>
      <c r="J59" s="72"/>
      <c r="K59" s="73">
        <v>500</v>
      </c>
      <c r="L59" s="74">
        <f>H59*K59</f>
        <v>23835</v>
      </c>
      <c r="O59" s="26">
        <v>300</v>
      </c>
      <c r="P59" s="26">
        <f t="shared" si="0"/>
        <v>14301</v>
      </c>
    </row>
    <row r="60" spans="4:16" ht="27.75" hidden="1" customHeight="1" outlineLevel="1">
      <c r="D60" s="75"/>
      <c r="E60" s="76" t="s">
        <v>76</v>
      </c>
      <c r="F60" s="77" t="s">
        <v>68</v>
      </c>
      <c r="G60" s="78">
        <v>12</v>
      </c>
      <c r="H60" s="79">
        <f>G60*H59</f>
        <v>572.04</v>
      </c>
      <c r="I60" s="80">
        <v>7.87</v>
      </c>
      <c r="J60" s="81">
        <f>H60*I60</f>
        <v>4501.9547999999995</v>
      </c>
      <c r="K60" s="82"/>
      <c r="L60" s="83"/>
      <c r="P60" s="26">
        <f t="shared" si="0"/>
        <v>0</v>
      </c>
    </row>
    <row r="61" spans="4:16" ht="20" hidden="1" customHeight="1" outlineLevel="1">
      <c r="D61" s="75"/>
      <c r="E61" s="76" t="s">
        <v>77</v>
      </c>
      <c r="F61" s="77" t="s">
        <v>63</v>
      </c>
      <c r="G61" s="78">
        <v>1.1499999999999999</v>
      </c>
      <c r="H61" s="79">
        <f>G61*H59</f>
        <v>54.820499999999996</v>
      </c>
      <c r="I61" s="80">
        <v>32</v>
      </c>
      <c r="J61" s="81">
        <f>H61*I61</f>
        <v>1754.2559999999999</v>
      </c>
      <c r="K61" s="82"/>
      <c r="L61" s="83"/>
      <c r="P61" s="26">
        <f t="shared" si="0"/>
        <v>0</v>
      </c>
    </row>
    <row r="62" spans="4:16" ht="20" hidden="1" customHeight="1" outlineLevel="1">
      <c r="D62" s="75"/>
      <c r="E62" s="76" t="s">
        <v>78</v>
      </c>
      <c r="F62" s="77" t="s">
        <v>63</v>
      </c>
      <c r="G62" s="78">
        <v>1.1499999999999999</v>
      </c>
      <c r="H62" s="79">
        <f>G62*H59</f>
        <v>54.820499999999996</v>
      </c>
      <c r="I62" s="80">
        <v>71.88</v>
      </c>
      <c r="J62" s="81">
        <f>H62*I62</f>
        <v>3940.4975399999994</v>
      </c>
      <c r="K62" s="82"/>
      <c r="L62" s="83"/>
      <c r="P62" s="26">
        <f t="shared" si="0"/>
        <v>0</v>
      </c>
    </row>
    <row r="63" spans="4:16" ht="34.5" customHeight="1" collapsed="1" thickBot="1">
      <c r="D63" s="84"/>
      <c r="E63" s="85" t="s">
        <v>79</v>
      </c>
      <c r="F63" s="86"/>
      <c r="G63" s="87"/>
      <c r="H63" s="87"/>
      <c r="I63" s="88"/>
      <c r="J63" s="89"/>
      <c r="K63" s="87"/>
      <c r="L63" s="90"/>
      <c r="P63" s="26">
        <f t="shared" si="0"/>
        <v>0</v>
      </c>
    </row>
    <row r="64" spans="4:16" ht="25.5" customHeight="1" thickBot="1">
      <c r="D64" s="66" t="s">
        <v>61</v>
      </c>
      <c r="E64" s="67" t="s">
        <v>80</v>
      </c>
      <c r="F64" s="68" t="s">
        <v>63</v>
      </c>
      <c r="G64" s="69"/>
      <c r="H64" s="91">
        <v>47.67</v>
      </c>
      <c r="I64" s="71"/>
      <c r="J64" s="72"/>
      <c r="K64" s="73">
        <v>940</v>
      </c>
      <c r="L64" s="74">
        <f>H64*K64</f>
        <v>44809.8</v>
      </c>
      <c r="O64" s="26">
        <v>1000</v>
      </c>
      <c r="P64" s="26">
        <f t="shared" si="0"/>
        <v>47670</v>
      </c>
    </row>
    <row r="65" spans="4:16" ht="20" hidden="1" customHeight="1" outlineLevel="1">
      <c r="D65" s="75"/>
      <c r="E65" s="76" t="s">
        <v>81</v>
      </c>
      <c r="F65" s="77" t="s">
        <v>68</v>
      </c>
      <c r="G65" s="78">
        <v>0.15</v>
      </c>
      <c r="H65" s="79">
        <f>H64*G65</f>
        <v>7.1505000000000001</v>
      </c>
      <c r="I65" s="80">
        <v>48.576000000000001</v>
      </c>
      <c r="J65" s="81">
        <f>H65*I65</f>
        <v>347.34268800000001</v>
      </c>
      <c r="K65" s="82"/>
      <c r="L65" s="83"/>
      <c r="P65" s="26">
        <f t="shared" si="0"/>
        <v>0</v>
      </c>
    </row>
    <row r="66" spans="4:16" ht="20" hidden="1" customHeight="1" outlineLevel="1">
      <c r="D66" s="75"/>
      <c r="E66" s="76" t="s">
        <v>82</v>
      </c>
      <c r="F66" s="77" t="s">
        <v>68</v>
      </c>
      <c r="G66" s="78">
        <v>3.8</v>
      </c>
      <c r="H66" s="79">
        <f>H64*G66</f>
        <v>181.14599999999999</v>
      </c>
      <c r="I66" s="80">
        <v>13.93</v>
      </c>
      <c r="J66" s="81">
        <f>H66*I66</f>
        <v>2523.3637799999997</v>
      </c>
      <c r="K66" s="82"/>
      <c r="L66" s="83"/>
      <c r="P66" s="26">
        <f t="shared" si="0"/>
        <v>0</v>
      </c>
    </row>
    <row r="67" spans="4:16" ht="20" hidden="1" customHeight="1" outlineLevel="1">
      <c r="D67" s="75"/>
      <c r="E67" s="76" t="s">
        <v>83</v>
      </c>
      <c r="F67" s="77" t="s">
        <v>68</v>
      </c>
      <c r="G67" s="78">
        <v>5.5</v>
      </c>
      <c r="H67" s="79">
        <f>H64*G67</f>
        <v>262.185</v>
      </c>
      <c r="I67" s="80">
        <v>22.973600000000001</v>
      </c>
      <c r="J67" s="81">
        <f>H67*I67</f>
        <v>6023.3333160000002</v>
      </c>
      <c r="K67" s="82"/>
      <c r="L67" s="83"/>
      <c r="P67" s="26">
        <f t="shared" si="0"/>
        <v>0</v>
      </c>
    </row>
    <row r="68" spans="4:16" ht="20" hidden="1" customHeight="1" outlineLevel="1">
      <c r="D68" s="75"/>
      <c r="E68" s="76" t="s">
        <v>84</v>
      </c>
      <c r="F68" s="77" t="s">
        <v>63</v>
      </c>
      <c r="G68" s="78">
        <v>1.05</v>
      </c>
      <c r="H68" s="79">
        <f>H64*G68</f>
        <v>50.053500000000007</v>
      </c>
      <c r="I68" s="80">
        <v>684</v>
      </c>
      <c r="J68" s="81">
        <f>H68*I68</f>
        <v>34236.594000000005</v>
      </c>
      <c r="K68" s="82"/>
      <c r="L68" s="83"/>
      <c r="P68" s="26">
        <f t="shared" si="0"/>
        <v>0</v>
      </c>
    </row>
    <row r="69" spans="4:16" ht="20" customHeight="1" collapsed="1" thickBot="1">
      <c r="D69" s="84"/>
      <c r="E69" s="85" t="s">
        <v>85</v>
      </c>
      <c r="F69" s="86"/>
      <c r="G69" s="87"/>
      <c r="H69" s="87"/>
      <c r="I69" s="88"/>
      <c r="J69" s="89"/>
      <c r="K69" s="87"/>
      <c r="L69" s="90"/>
      <c r="P69" s="26">
        <f t="shared" si="0"/>
        <v>0</v>
      </c>
    </row>
    <row r="70" spans="4:16" ht="25.5" customHeight="1">
      <c r="D70" s="66" t="s">
        <v>61</v>
      </c>
      <c r="E70" s="67" t="s">
        <v>92</v>
      </c>
      <c r="F70" s="68" t="s">
        <v>63</v>
      </c>
      <c r="G70" s="69"/>
      <c r="H70" s="91">
        <v>2.31</v>
      </c>
      <c r="I70" s="71"/>
      <c r="J70" s="72"/>
      <c r="K70" s="73">
        <v>1500</v>
      </c>
      <c r="L70" s="74">
        <f>H70*K70</f>
        <v>3465</v>
      </c>
      <c r="O70" s="26">
        <v>300</v>
      </c>
      <c r="P70" s="26">
        <f t="shared" si="0"/>
        <v>693</v>
      </c>
    </row>
    <row r="71" spans="4:16" ht="20" hidden="1" customHeight="1" outlineLevel="1">
      <c r="D71" s="75"/>
      <c r="E71" s="76" t="s">
        <v>76</v>
      </c>
      <c r="F71" s="77" t="s">
        <v>68</v>
      </c>
      <c r="G71" s="78">
        <v>12</v>
      </c>
      <c r="H71" s="79">
        <f>G71*H70</f>
        <v>27.72</v>
      </c>
      <c r="I71" s="80">
        <v>7.87</v>
      </c>
      <c r="J71" s="81">
        <f>H71*I71</f>
        <v>218.15639999999999</v>
      </c>
      <c r="K71" s="82"/>
      <c r="L71" s="74"/>
      <c r="P71" s="26">
        <f t="shared" si="0"/>
        <v>0</v>
      </c>
    </row>
    <row r="72" spans="4:16" ht="20" hidden="1" customHeight="1" outlineLevel="1">
      <c r="D72" s="75"/>
      <c r="E72" s="76" t="s">
        <v>77</v>
      </c>
      <c r="F72" s="77" t="s">
        <v>63</v>
      </c>
      <c r="G72" s="78">
        <v>1.1499999999999999</v>
      </c>
      <c r="H72" s="79">
        <f>G72*H70</f>
        <v>2.6564999999999999</v>
      </c>
      <c r="I72" s="80">
        <v>32</v>
      </c>
      <c r="J72" s="81">
        <f>H72*I72</f>
        <v>85.007999999999996</v>
      </c>
      <c r="K72" s="82"/>
      <c r="L72" s="74"/>
      <c r="P72" s="26">
        <f t="shared" si="0"/>
        <v>0</v>
      </c>
    </row>
    <row r="73" spans="4:16" ht="20" hidden="1" customHeight="1" outlineLevel="1">
      <c r="D73" s="75"/>
      <c r="E73" s="76" t="s">
        <v>78</v>
      </c>
      <c r="F73" s="77" t="s">
        <v>63</v>
      </c>
      <c r="G73" s="78">
        <v>1.1499999999999999</v>
      </c>
      <c r="H73" s="79">
        <f>G73*H70</f>
        <v>2.6564999999999999</v>
      </c>
      <c r="I73" s="80">
        <v>71.88</v>
      </c>
      <c r="J73" s="81">
        <f>H73*I73</f>
        <v>190.94921999999997</v>
      </c>
      <c r="K73" s="82"/>
      <c r="L73" s="74"/>
      <c r="P73" s="26">
        <f t="shared" si="0"/>
        <v>0</v>
      </c>
    </row>
    <row r="74" spans="4:16" ht="20" hidden="1" customHeight="1" outlineLevel="1">
      <c r="D74" s="75"/>
      <c r="E74" s="76" t="s">
        <v>87</v>
      </c>
      <c r="F74" s="77" t="s">
        <v>88</v>
      </c>
      <c r="G74" s="78">
        <v>1.1000000000000001</v>
      </c>
      <c r="H74" s="79">
        <f>G74*(10.95)</f>
        <v>12.045</v>
      </c>
      <c r="I74" s="80">
        <v>31</v>
      </c>
      <c r="J74" s="81">
        <f>H74*I74</f>
        <v>373.39499999999998</v>
      </c>
      <c r="K74" s="82"/>
      <c r="L74" s="74"/>
      <c r="P74" s="26">
        <f t="shared" si="0"/>
        <v>0</v>
      </c>
    </row>
    <row r="75" spans="4:16" ht="20" hidden="1" customHeight="1" outlineLevel="1">
      <c r="D75" s="75"/>
      <c r="E75" s="76" t="s">
        <v>89</v>
      </c>
      <c r="F75" s="77" t="s">
        <v>88</v>
      </c>
      <c r="G75" s="78">
        <v>1.1000000000000001</v>
      </c>
      <c r="H75" s="79">
        <f>G75*(19.19)</f>
        <v>21.109000000000002</v>
      </c>
      <c r="I75" s="80">
        <v>9.6</v>
      </c>
      <c r="J75" s="81">
        <f>H75*I75</f>
        <v>202.6464</v>
      </c>
      <c r="K75" s="82"/>
      <c r="L75" s="74"/>
      <c r="P75" s="26">
        <f t="shared" si="0"/>
        <v>0</v>
      </c>
    </row>
    <row r="76" spans="4:16" ht="29.25" customHeight="1" collapsed="1" thickBot="1">
      <c r="D76" s="66" t="s">
        <v>71</v>
      </c>
      <c r="E76" s="67" t="s">
        <v>93</v>
      </c>
      <c r="F76" s="68" t="s">
        <v>63</v>
      </c>
      <c r="G76" s="69"/>
      <c r="H76" s="91">
        <f>H70</f>
        <v>2.31</v>
      </c>
      <c r="I76" s="71"/>
      <c r="J76" s="72"/>
      <c r="K76" s="73">
        <v>1500</v>
      </c>
      <c r="L76" s="74">
        <f>H76*K76</f>
        <v>3465</v>
      </c>
      <c r="O76" s="26">
        <v>1000</v>
      </c>
      <c r="P76" s="26">
        <f t="shared" si="0"/>
        <v>2310</v>
      </c>
    </row>
    <row r="77" spans="4:16" ht="20" hidden="1" customHeight="1" outlineLevel="1">
      <c r="D77" s="75"/>
      <c r="E77" s="76" t="s">
        <v>81</v>
      </c>
      <c r="F77" s="77" t="s">
        <v>68</v>
      </c>
      <c r="G77" s="78">
        <v>0.15</v>
      </c>
      <c r="H77" s="79">
        <f>H76*G77</f>
        <v>0.34649999999999997</v>
      </c>
      <c r="I77" s="80">
        <v>48.576000000000001</v>
      </c>
      <c r="J77" s="81">
        <f>H77*I77</f>
        <v>16.831583999999999</v>
      </c>
      <c r="K77" s="82"/>
      <c r="L77" s="83"/>
      <c r="P77" s="26">
        <f t="shared" si="0"/>
        <v>0</v>
      </c>
    </row>
    <row r="78" spans="4:16" ht="20" hidden="1" customHeight="1" outlineLevel="1">
      <c r="D78" s="75"/>
      <c r="E78" s="76" t="s">
        <v>82</v>
      </c>
      <c r="F78" s="77" t="s">
        <v>68</v>
      </c>
      <c r="G78" s="78">
        <v>3.8</v>
      </c>
      <c r="H78" s="79">
        <f>H76*G78</f>
        <v>8.7780000000000005</v>
      </c>
      <c r="I78" s="80">
        <v>13.93</v>
      </c>
      <c r="J78" s="81">
        <f>H78*I78</f>
        <v>122.27754</v>
      </c>
      <c r="K78" s="82"/>
      <c r="L78" s="83"/>
      <c r="P78" s="26">
        <f t="shared" si="0"/>
        <v>0</v>
      </c>
    </row>
    <row r="79" spans="4:16" ht="20" hidden="1" customHeight="1" outlineLevel="1">
      <c r="D79" s="75"/>
      <c r="E79" s="76" t="s">
        <v>83</v>
      </c>
      <c r="F79" s="77" t="s">
        <v>68</v>
      </c>
      <c r="G79" s="78">
        <v>5.5</v>
      </c>
      <c r="H79" s="79">
        <f>H76*G79</f>
        <v>12.705</v>
      </c>
      <c r="I79" s="80">
        <v>22.973600000000001</v>
      </c>
      <c r="J79" s="81">
        <f>H79*I79</f>
        <v>291.87958800000001</v>
      </c>
      <c r="K79" s="82"/>
      <c r="L79" s="83"/>
      <c r="P79" s="26">
        <f t="shared" si="0"/>
        <v>0</v>
      </c>
    </row>
    <row r="80" spans="4:16" ht="20" hidden="1" customHeight="1" outlineLevel="1">
      <c r="D80" s="75"/>
      <c r="E80" s="76" t="s">
        <v>84</v>
      </c>
      <c r="F80" s="77" t="s">
        <v>63</v>
      </c>
      <c r="G80" s="78">
        <v>1.0509999999999999</v>
      </c>
      <c r="H80" s="79">
        <f>H76*G80</f>
        <v>2.42781</v>
      </c>
      <c r="I80" s="80">
        <v>684</v>
      </c>
      <c r="J80" s="81">
        <f>H80*I80</f>
        <v>1660.62204</v>
      </c>
      <c r="K80" s="82"/>
      <c r="L80" s="83"/>
      <c r="P80" s="26">
        <f t="shared" si="0"/>
        <v>0</v>
      </c>
    </row>
    <row r="81" spans="4:16" ht="20" customHeight="1" collapsed="1" thickBot="1">
      <c r="D81" s="84"/>
      <c r="E81" s="85" t="s">
        <v>94</v>
      </c>
      <c r="F81" s="86"/>
      <c r="G81" s="87"/>
      <c r="H81" s="87"/>
      <c r="I81" s="88"/>
      <c r="J81" s="89"/>
      <c r="K81" s="87"/>
      <c r="L81" s="90"/>
      <c r="P81" s="26">
        <f t="shared" si="0"/>
        <v>0</v>
      </c>
    </row>
    <row r="82" spans="4:16" ht="25.5" customHeight="1">
      <c r="D82" s="66" t="s">
        <v>61</v>
      </c>
      <c r="E82" s="67" t="s">
        <v>95</v>
      </c>
      <c r="F82" s="68" t="s">
        <v>63</v>
      </c>
      <c r="G82" s="69"/>
      <c r="H82" s="70">
        <v>27.37</v>
      </c>
      <c r="I82" s="71"/>
      <c r="J82" s="72"/>
      <c r="K82" s="73">
        <v>250</v>
      </c>
      <c r="L82" s="74">
        <f>H82*K82</f>
        <v>6842.5</v>
      </c>
      <c r="O82" s="26">
        <v>150</v>
      </c>
      <c r="P82" s="26">
        <f t="shared" si="0"/>
        <v>4105.5</v>
      </c>
    </row>
    <row r="83" spans="4:16" ht="20" hidden="1" customHeight="1" outlineLevel="1">
      <c r="D83" s="75"/>
      <c r="E83" s="76" t="s">
        <v>96</v>
      </c>
      <c r="F83" s="77" t="s">
        <v>63</v>
      </c>
      <c r="G83" s="78">
        <v>1.05</v>
      </c>
      <c r="H83" s="79">
        <f>G83*H82</f>
        <v>28.738500000000002</v>
      </c>
      <c r="I83" s="80">
        <v>231.64</v>
      </c>
      <c r="J83" s="81">
        <f>H83*I83</f>
        <v>6656.98614</v>
      </c>
      <c r="K83" s="82"/>
      <c r="L83" s="74"/>
      <c r="P83" s="26">
        <f t="shared" si="0"/>
        <v>0</v>
      </c>
    </row>
    <row r="84" spans="4:16" ht="20" hidden="1" customHeight="1" outlineLevel="1">
      <c r="D84" s="75"/>
      <c r="E84" s="76" t="s">
        <v>65</v>
      </c>
      <c r="F84" s="77" t="s">
        <v>66</v>
      </c>
      <c r="G84" s="78">
        <v>0.15</v>
      </c>
      <c r="H84" s="79">
        <f>G84*H82</f>
        <v>4.1055000000000001</v>
      </c>
      <c r="I84" s="80">
        <v>25</v>
      </c>
      <c r="J84" s="81">
        <f>H84*I84</f>
        <v>102.6375</v>
      </c>
      <c r="K84" s="82"/>
      <c r="L84" s="74"/>
      <c r="P84" s="26">
        <f t="shared" si="0"/>
        <v>0</v>
      </c>
    </row>
    <row r="85" spans="4:16" ht="20" hidden="1" customHeight="1" outlineLevel="1">
      <c r="D85" s="75"/>
      <c r="E85" s="76" t="s">
        <v>67</v>
      </c>
      <c r="F85" s="77" t="s">
        <v>68</v>
      </c>
      <c r="G85" s="78">
        <v>11</v>
      </c>
      <c r="H85" s="79">
        <f>ROUND(G85*H82,0)</f>
        <v>301</v>
      </c>
      <c r="I85" s="80">
        <v>6.48</v>
      </c>
      <c r="J85" s="81">
        <f>H85*I85</f>
        <v>1950.48</v>
      </c>
      <c r="K85" s="82"/>
      <c r="L85" s="74"/>
      <c r="P85" s="26">
        <f t="shared" ref="P85:P148" si="1">O85*H85</f>
        <v>0</v>
      </c>
    </row>
    <row r="86" spans="4:16" ht="20" hidden="1" customHeight="1" outlineLevel="1">
      <c r="D86" s="75"/>
      <c r="E86" s="76" t="s">
        <v>97</v>
      </c>
      <c r="F86" s="77" t="s">
        <v>70</v>
      </c>
      <c r="G86" s="78">
        <v>8</v>
      </c>
      <c r="H86" s="79">
        <f>ROUND(G86*H82,0)</f>
        <v>219</v>
      </c>
      <c r="I86" s="80">
        <v>3.36</v>
      </c>
      <c r="J86" s="81">
        <f>H86*I86</f>
        <v>735.83999999999992</v>
      </c>
      <c r="K86" s="82"/>
      <c r="L86" s="74"/>
      <c r="P86" s="26">
        <f t="shared" si="1"/>
        <v>0</v>
      </c>
    </row>
    <row r="87" spans="4:16" ht="27.75" customHeight="1" collapsed="1">
      <c r="D87" s="66" t="s">
        <v>71</v>
      </c>
      <c r="E87" s="67" t="s">
        <v>98</v>
      </c>
      <c r="F87" s="68" t="s">
        <v>63</v>
      </c>
      <c r="G87" s="69"/>
      <c r="H87" s="70">
        <f>H82</f>
        <v>27.37</v>
      </c>
      <c r="I87" s="71"/>
      <c r="J87" s="72"/>
      <c r="K87" s="73">
        <v>250</v>
      </c>
      <c r="L87" s="74">
        <f>H87*K87</f>
        <v>6842.5</v>
      </c>
      <c r="O87" s="26">
        <v>150</v>
      </c>
      <c r="P87" s="26">
        <f t="shared" si="1"/>
        <v>4105.5</v>
      </c>
    </row>
    <row r="88" spans="4:16" ht="20" hidden="1" customHeight="1" outlineLevel="1">
      <c r="D88" s="75"/>
      <c r="E88" s="76" t="s">
        <v>76</v>
      </c>
      <c r="F88" s="77" t="s">
        <v>68</v>
      </c>
      <c r="G88" s="78">
        <v>6</v>
      </c>
      <c r="H88" s="79">
        <f>G88*H87</f>
        <v>164.22</v>
      </c>
      <c r="I88" s="80">
        <v>7.87</v>
      </c>
      <c r="J88" s="81">
        <f>H88*I88</f>
        <v>1292.4114</v>
      </c>
      <c r="K88" s="82"/>
      <c r="L88" s="74"/>
      <c r="P88" s="26">
        <f t="shared" si="1"/>
        <v>0</v>
      </c>
    </row>
    <row r="89" spans="4:16" ht="20" hidden="1" customHeight="1" outlineLevel="1">
      <c r="D89" s="75"/>
      <c r="E89" s="76" t="s">
        <v>99</v>
      </c>
      <c r="F89" s="77" t="s">
        <v>63</v>
      </c>
      <c r="G89" s="78">
        <v>1.1499999999999999</v>
      </c>
      <c r="H89" s="79">
        <f>G89*H87</f>
        <v>31.4755</v>
      </c>
      <c r="I89" s="80">
        <v>32</v>
      </c>
      <c r="J89" s="81">
        <f>H89*I89</f>
        <v>1007.216</v>
      </c>
      <c r="K89" s="82"/>
      <c r="L89" s="74"/>
      <c r="P89" s="26">
        <f t="shared" si="1"/>
        <v>0</v>
      </c>
    </row>
    <row r="90" spans="4:16" ht="20" customHeight="1" collapsed="1" thickBot="1">
      <c r="D90" s="66" t="s">
        <v>74</v>
      </c>
      <c r="E90" s="67" t="s">
        <v>100</v>
      </c>
      <c r="F90" s="68" t="s">
        <v>63</v>
      </c>
      <c r="G90" s="69"/>
      <c r="H90" s="91">
        <f>H82</f>
        <v>27.37</v>
      </c>
      <c r="I90" s="71"/>
      <c r="J90" s="72"/>
      <c r="K90" s="73">
        <v>1200</v>
      </c>
      <c r="L90" s="74">
        <f>H90*K90</f>
        <v>32844</v>
      </c>
      <c r="O90" s="26">
        <v>1000</v>
      </c>
      <c r="P90" s="26">
        <f t="shared" si="1"/>
        <v>27370</v>
      </c>
    </row>
    <row r="91" spans="4:16" ht="20" hidden="1" customHeight="1" outlineLevel="1">
      <c r="D91" s="75"/>
      <c r="E91" s="76" t="s">
        <v>81</v>
      </c>
      <c r="F91" s="77" t="s">
        <v>68</v>
      </c>
      <c r="G91" s="78">
        <v>0.35</v>
      </c>
      <c r="H91" s="79">
        <f>H90*G91</f>
        <v>9.5794999999999995</v>
      </c>
      <c r="I91" s="80">
        <v>48.58</v>
      </c>
      <c r="J91" s="81">
        <f>H91*I91</f>
        <v>465.37210999999996</v>
      </c>
      <c r="K91" s="82"/>
      <c r="L91" s="83"/>
      <c r="P91" s="26">
        <f t="shared" si="1"/>
        <v>0</v>
      </c>
    </row>
    <row r="92" spans="4:16" ht="20" hidden="1" customHeight="1" outlineLevel="1">
      <c r="D92" s="75"/>
      <c r="E92" s="76" t="s">
        <v>82</v>
      </c>
      <c r="F92" s="77" t="s">
        <v>68</v>
      </c>
      <c r="G92" s="78">
        <v>9.75</v>
      </c>
      <c r="H92" s="79">
        <f>H90*G92</f>
        <v>266.85750000000002</v>
      </c>
      <c r="I92" s="80">
        <v>13.93</v>
      </c>
      <c r="J92" s="81">
        <f>H92*I92</f>
        <v>3717.324975</v>
      </c>
      <c r="K92" s="82"/>
      <c r="L92" s="83"/>
      <c r="P92" s="26">
        <f t="shared" si="1"/>
        <v>0</v>
      </c>
    </row>
    <row r="93" spans="4:16" ht="20" hidden="1" customHeight="1" outlineLevel="1">
      <c r="D93" s="75"/>
      <c r="E93" s="76" t="s">
        <v>101</v>
      </c>
      <c r="F93" s="77" t="s">
        <v>63</v>
      </c>
      <c r="G93" s="78">
        <v>1.03</v>
      </c>
      <c r="H93" s="79">
        <f>H90*G93</f>
        <v>28.191100000000002</v>
      </c>
      <c r="I93" s="80">
        <v>627.12</v>
      </c>
      <c r="J93" s="81">
        <f>H93*I93</f>
        <v>17679.202632</v>
      </c>
      <c r="K93" s="82"/>
      <c r="L93" s="83"/>
      <c r="P93" s="26">
        <f t="shared" si="1"/>
        <v>0</v>
      </c>
    </row>
    <row r="94" spans="4:16" ht="20" hidden="1" customHeight="1" outlineLevel="1">
      <c r="D94" s="75"/>
      <c r="E94" s="76" t="s">
        <v>102</v>
      </c>
      <c r="F94" s="77" t="s">
        <v>70</v>
      </c>
      <c r="G94" s="78">
        <v>1.1000000000000001</v>
      </c>
      <c r="H94" s="79">
        <f>H90*G94</f>
        <v>30.107000000000003</v>
      </c>
      <c r="I94" s="80">
        <v>240</v>
      </c>
      <c r="J94" s="81">
        <f>H94*I94</f>
        <v>7225.68</v>
      </c>
      <c r="K94" s="82"/>
      <c r="L94" s="83"/>
      <c r="P94" s="26">
        <f t="shared" si="1"/>
        <v>0</v>
      </c>
    </row>
    <row r="95" spans="4:16" ht="20" hidden="1" customHeight="1" outlineLevel="1">
      <c r="D95" s="75"/>
      <c r="E95" s="76" t="s">
        <v>103</v>
      </c>
      <c r="F95" s="77" t="s">
        <v>68</v>
      </c>
      <c r="G95" s="78">
        <v>1.05</v>
      </c>
      <c r="H95" s="79">
        <f>H90*G95</f>
        <v>28.738500000000002</v>
      </c>
      <c r="I95" s="80">
        <v>30</v>
      </c>
      <c r="J95" s="81">
        <f>H95*I95</f>
        <v>862.15500000000009</v>
      </c>
      <c r="K95" s="82"/>
      <c r="L95" s="83"/>
      <c r="P95" s="26">
        <f t="shared" si="1"/>
        <v>0</v>
      </c>
    </row>
    <row r="96" spans="4:16" ht="31.5" customHeight="1" collapsed="1" thickBot="1">
      <c r="D96" s="59"/>
      <c r="E96" s="60" t="s">
        <v>104</v>
      </c>
      <c r="F96" s="61"/>
      <c r="G96" s="62"/>
      <c r="H96" s="62"/>
      <c r="I96" s="63"/>
      <c r="J96" s="64"/>
      <c r="K96" s="62"/>
      <c r="L96" s="65"/>
      <c r="P96" s="26">
        <f t="shared" si="1"/>
        <v>0</v>
      </c>
    </row>
    <row r="97" spans="4:16" ht="20" customHeight="1">
      <c r="D97" s="66" t="s">
        <v>61</v>
      </c>
      <c r="E97" s="67" t="s">
        <v>105</v>
      </c>
      <c r="F97" s="68" t="s">
        <v>63</v>
      </c>
      <c r="G97" s="69"/>
      <c r="H97" s="91">
        <v>891.19</v>
      </c>
      <c r="I97" s="71"/>
      <c r="J97" s="72"/>
      <c r="K97" s="73">
        <v>500</v>
      </c>
      <c r="L97" s="74">
        <f>H97*K97</f>
        <v>445595</v>
      </c>
      <c r="O97" s="26">
        <v>100</v>
      </c>
      <c r="P97" s="26">
        <f t="shared" si="1"/>
        <v>89119</v>
      </c>
    </row>
    <row r="98" spans="4:16" ht="20" hidden="1" customHeight="1" outlineLevel="1">
      <c r="D98" s="75"/>
      <c r="E98" s="76" t="s">
        <v>106</v>
      </c>
      <c r="F98" s="77" t="s">
        <v>70</v>
      </c>
      <c r="G98" s="78">
        <v>0.78</v>
      </c>
      <c r="H98" s="79">
        <f>H97*G98</f>
        <v>695.12820000000011</v>
      </c>
      <c r="I98" s="80">
        <v>51.17</v>
      </c>
      <c r="J98" s="81">
        <f t="shared" ref="J98:J108" si="2">H98*I98</f>
        <v>35569.709994000004</v>
      </c>
      <c r="K98" s="82"/>
      <c r="L98" s="74"/>
      <c r="P98" s="26">
        <f t="shared" si="1"/>
        <v>0</v>
      </c>
    </row>
    <row r="99" spans="4:16" ht="20" hidden="1" customHeight="1" outlineLevel="1">
      <c r="D99" s="75"/>
      <c r="E99" s="76" t="s">
        <v>107</v>
      </c>
      <c r="F99" s="77" t="s">
        <v>70</v>
      </c>
      <c r="G99" s="78">
        <v>0.22</v>
      </c>
      <c r="H99" s="79">
        <f>H97*G99</f>
        <v>196.06180000000001</v>
      </c>
      <c r="I99" s="80">
        <v>77.09</v>
      </c>
      <c r="J99" s="81">
        <f t="shared" si="2"/>
        <v>15114.404162000001</v>
      </c>
      <c r="K99" s="82"/>
      <c r="L99" s="74"/>
      <c r="P99" s="26">
        <f t="shared" si="1"/>
        <v>0</v>
      </c>
    </row>
    <row r="100" spans="4:16" ht="20" hidden="1" customHeight="1" outlineLevel="1">
      <c r="D100" s="75"/>
      <c r="E100" s="76" t="s">
        <v>108</v>
      </c>
      <c r="F100" s="77" t="s">
        <v>70</v>
      </c>
      <c r="G100" s="78">
        <v>0.42</v>
      </c>
      <c r="H100" s="79">
        <f>H97*G100</f>
        <v>374.2998</v>
      </c>
      <c r="I100" s="80">
        <v>25.96</v>
      </c>
      <c r="J100" s="81">
        <f t="shared" si="2"/>
        <v>9716.8228080000008</v>
      </c>
      <c r="K100" s="82"/>
      <c r="L100" s="74"/>
      <c r="P100" s="26">
        <f t="shared" si="1"/>
        <v>0</v>
      </c>
    </row>
    <row r="101" spans="4:16" ht="20" hidden="1" customHeight="1" outlineLevel="1">
      <c r="D101" s="75"/>
      <c r="E101" s="76" t="s">
        <v>109</v>
      </c>
      <c r="F101" s="77" t="s">
        <v>70</v>
      </c>
      <c r="G101" s="78">
        <v>0.01</v>
      </c>
      <c r="H101" s="79">
        <f>H97*G101</f>
        <v>8.911900000000001</v>
      </c>
      <c r="I101" s="80">
        <v>93.49</v>
      </c>
      <c r="J101" s="81">
        <f t="shared" si="2"/>
        <v>833.17353100000003</v>
      </c>
      <c r="K101" s="82"/>
      <c r="L101" s="74"/>
      <c r="P101" s="26">
        <f t="shared" si="1"/>
        <v>0</v>
      </c>
    </row>
    <row r="102" spans="4:16" ht="20" hidden="1" customHeight="1" outlineLevel="1">
      <c r="D102" s="75"/>
      <c r="E102" s="76" t="s">
        <v>110</v>
      </c>
      <c r="F102" s="77" t="s">
        <v>70</v>
      </c>
      <c r="G102" s="78">
        <v>0.04</v>
      </c>
      <c r="H102" s="79">
        <f>H97*G102</f>
        <v>35.647600000000004</v>
      </c>
      <c r="I102" s="80">
        <v>66.760000000000005</v>
      </c>
      <c r="J102" s="81">
        <f t="shared" si="2"/>
        <v>2379.8337760000004</v>
      </c>
      <c r="K102" s="82"/>
      <c r="L102" s="74"/>
      <c r="P102" s="26">
        <f t="shared" si="1"/>
        <v>0</v>
      </c>
    </row>
    <row r="103" spans="4:16" ht="20" hidden="1" customHeight="1" outlineLevel="1">
      <c r="D103" s="75"/>
      <c r="E103" s="76" t="s">
        <v>111</v>
      </c>
      <c r="F103" s="77" t="s">
        <v>70</v>
      </c>
      <c r="G103" s="78">
        <v>0.09</v>
      </c>
      <c r="H103" s="79">
        <f>H97*G103</f>
        <v>80.207099999999997</v>
      </c>
      <c r="I103" s="80">
        <v>74.86</v>
      </c>
      <c r="J103" s="81">
        <f t="shared" si="2"/>
        <v>6004.3035059999993</v>
      </c>
      <c r="K103" s="82"/>
      <c r="L103" s="74"/>
      <c r="P103" s="26">
        <f t="shared" si="1"/>
        <v>0</v>
      </c>
    </row>
    <row r="104" spans="4:16" ht="20" hidden="1" customHeight="1" outlineLevel="1">
      <c r="D104" s="75"/>
      <c r="E104" s="76" t="s">
        <v>112</v>
      </c>
      <c r="F104" s="77" t="s">
        <v>70</v>
      </c>
      <c r="G104" s="78">
        <v>0.3</v>
      </c>
      <c r="H104" s="79">
        <f>H97*G104</f>
        <v>267.35700000000003</v>
      </c>
      <c r="I104" s="80">
        <v>51.17</v>
      </c>
      <c r="J104" s="81">
        <f t="shared" si="2"/>
        <v>13680.657690000002</v>
      </c>
      <c r="K104" s="82"/>
      <c r="L104" s="74"/>
      <c r="P104" s="26">
        <f t="shared" si="1"/>
        <v>0</v>
      </c>
    </row>
    <row r="105" spans="4:16" ht="20" hidden="1" customHeight="1" outlineLevel="1">
      <c r="D105" s="75"/>
      <c r="E105" s="76" t="s">
        <v>113</v>
      </c>
      <c r="F105" s="77" t="s">
        <v>70</v>
      </c>
      <c r="G105" s="78">
        <v>0.16</v>
      </c>
      <c r="H105" s="79">
        <f>H97*G105</f>
        <v>142.59040000000002</v>
      </c>
      <c r="I105" s="80">
        <v>16.41</v>
      </c>
      <c r="J105" s="81">
        <f t="shared" si="2"/>
        <v>2339.9084640000001</v>
      </c>
      <c r="K105" s="82"/>
      <c r="L105" s="74"/>
      <c r="P105" s="26">
        <f t="shared" si="1"/>
        <v>0</v>
      </c>
    </row>
    <row r="106" spans="4:16" ht="20" hidden="1" customHeight="1" outlineLevel="1">
      <c r="D106" s="75"/>
      <c r="E106" s="76" t="s">
        <v>114</v>
      </c>
      <c r="F106" s="77" t="s">
        <v>70</v>
      </c>
      <c r="G106" s="78">
        <v>1.7</v>
      </c>
      <c r="H106" s="79">
        <f>H97*G106</f>
        <v>1515.0230000000001</v>
      </c>
      <c r="I106" s="80">
        <v>4.8600000000000003</v>
      </c>
      <c r="J106" s="81">
        <f t="shared" si="2"/>
        <v>7363.0117800000007</v>
      </c>
      <c r="K106" s="82"/>
      <c r="L106" s="74"/>
      <c r="P106" s="26">
        <f t="shared" si="1"/>
        <v>0</v>
      </c>
    </row>
    <row r="107" spans="4:16" ht="20" hidden="1" customHeight="1" outlineLevel="1">
      <c r="D107" s="75"/>
      <c r="E107" s="76" t="s">
        <v>115</v>
      </c>
      <c r="F107" s="77" t="s">
        <v>70</v>
      </c>
      <c r="G107" s="78">
        <v>0.3</v>
      </c>
      <c r="H107" s="79">
        <f>H97*G107</f>
        <v>267.35700000000003</v>
      </c>
      <c r="I107" s="80">
        <v>5.94</v>
      </c>
      <c r="J107" s="81">
        <f t="shared" si="2"/>
        <v>1588.1005800000003</v>
      </c>
      <c r="K107" s="82"/>
      <c r="L107" s="74"/>
      <c r="P107" s="26">
        <f t="shared" si="1"/>
        <v>0</v>
      </c>
    </row>
    <row r="108" spans="4:16" ht="20" hidden="1" customHeight="1" outlineLevel="1">
      <c r="D108" s="75"/>
      <c r="E108" s="76" t="s">
        <v>116</v>
      </c>
      <c r="F108" s="77" t="s">
        <v>70</v>
      </c>
      <c r="G108" s="78">
        <v>2.25</v>
      </c>
      <c r="H108" s="79">
        <f>H97*G108</f>
        <v>2005.1775000000002</v>
      </c>
      <c r="I108" s="80">
        <v>20.86</v>
      </c>
      <c r="J108" s="81">
        <f t="shared" si="2"/>
        <v>41828.002650000002</v>
      </c>
      <c r="K108" s="82"/>
      <c r="L108" s="74"/>
      <c r="P108" s="26">
        <f t="shared" si="1"/>
        <v>0</v>
      </c>
    </row>
    <row r="109" spans="4:16" ht="32.25" customHeight="1" collapsed="1">
      <c r="D109" s="66" t="s">
        <v>71</v>
      </c>
      <c r="E109" s="67" t="s">
        <v>117</v>
      </c>
      <c r="F109" s="68" t="s">
        <v>63</v>
      </c>
      <c r="G109" s="69"/>
      <c r="H109" s="69">
        <v>55.26</v>
      </c>
      <c r="I109" s="71"/>
      <c r="J109" s="72"/>
      <c r="K109" s="73">
        <v>250</v>
      </c>
      <c r="L109" s="74">
        <f>H109*K109</f>
        <v>13815</v>
      </c>
      <c r="O109" s="26">
        <v>100</v>
      </c>
      <c r="P109" s="26">
        <f t="shared" si="1"/>
        <v>5526</v>
      </c>
    </row>
    <row r="110" spans="4:16" ht="20" hidden="1" customHeight="1" outlineLevel="1">
      <c r="D110" s="75"/>
      <c r="E110" s="76" t="s">
        <v>96</v>
      </c>
      <c r="F110" s="77" t="s">
        <v>63</v>
      </c>
      <c r="G110" s="78">
        <v>1.05</v>
      </c>
      <c r="H110" s="79">
        <f>G110*H109</f>
        <v>58.023000000000003</v>
      </c>
      <c r="I110" s="80">
        <v>231.64</v>
      </c>
      <c r="J110" s="81">
        <f>H110*I110</f>
        <v>13440.44772</v>
      </c>
      <c r="K110" s="82"/>
      <c r="L110" s="74"/>
      <c r="P110" s="26">
        <f t="shared" si="1"/>
        <v>0</v>
      </c>
    </row>
    <row r="111" spans="4:16" ht="20" hidden="1" customHeight="1" outlineLevel="1">
      <c r="D111" s="75"/>
      <c r="E111" s="76" t="s">
        <v>65</v>
      </c>
      <c r="F111" s="77" t="s">
        <v>66</v>
      </c>
      <c r="G111" s="78">
        <v>0.15</v>
      </c>
      <c r="H111" s="79">
        <f>G111*H109</f>
        <v>8.2889999999999997</v>
      </c>
      <c r="I111" s="80">
        <v>25</v>
      </c>
      <c r="J111" s="81">
        <f>H111*I111</f>
        <v>207.22499999999999</v>
      </c>
      <c r="K111" s="82"/>
      <c r="L111" s="74"/>
      <c r="P111" s="26">
        <f t="shared" si="1"/>
        <v>0</v>
      </c>
    </row>
    <row r="112" spans="4:16" ht="20" hidden="1" customHeight="1" outlineLevel="1">
      <c r="D112" s="75"/>
      <c r="E112" s="76" t="s">
        <v>67</v>
      </c>
      <c r="F112" s="77" t="s">
        <v>68</v>
      </c>
      <c r="G112" s="78">
        <v>11</v>
      </c>
      <c r="H112" s="79">
        <f>ROUND(G112*H109,0)</f>
        <v>608</v>
      </c>
      <c r="I112" s="80">
        <v>6.48</v>
      </c>
      <c r="J112" s="81">
        <f>H112*I112</f>
        <v>3939.84</v>
      </c>
      <c r="K112" s="82"/>
      <c r="L112" s="74"/>
      <c r="P112" s="26">
        <f t="shared" si="1"/>
        <v>0</v>
      </c>
    </row>
    <row r="113" spans="4:16" ht="20" hidden="1" customHeight="1" outlineLevel="1">
      <c r="D113" s="75"/>
      <c r="E113" s="76" t="s">
        <v>97</v>
      </c>
      <c r="F113" s="77" t="s">
        <v>70</v>
      </c>
      <c r="G113" s="78">
        <v>8</v>
      </c>
      <c r="H113" s="79">
        <f>ROUND(G113*H109,0)</f>
        <v>442</v>
      </c>
      <c r="I113" s="80">
        <v>3.36</v>
      </c>
      <c r="J113" s="81">
        <f>H113*I113</f>
        <v>1485.12</v>
      </c>
      <c r="K113" s="82"/>
      <c r="L113" s="74"/>
      <c r="P113" s="26">
        <f t="shared" si="1"/>
        <v>0</v>
      </c>
    </row>
    <row r="114" spans="4:16" ht="30" customHeight="1" collapsed="1">
      <c r="D114" s="66" t="s">
        <v>71</v>
      </c>
      <c r="E114" s="67" t="s">
        <v>72</v>
      </c>
      <c r="F114" s="68" t="s">
        <v>63</v>
      </c>
      <c r="G114" s="69"/>
      <c r="H114" s="91">
        <v>87.53</v>
      </c>
      <c r="I114" s="71"/>
      <c r="J114" s="72"/>
      <c r="K114" s="73">
        <v>250</v>
      </c>
      <c r="L114" s="74">
        <f>H114*K114</f>
        <v>21882.5</v>
      </c>
      <c r="O114" s="26">
        <v>100</v>
      </c>
      <c r="P114" s="26">
        <f t="shared" si="1"/>
        <v>8753</v>
      </c>
    </row>
    <row r="115" spans="4:16" ht="20" hidden="1" customHeight="1" outlineLevel="1">
      <c r="D115" s="75"/>
      <c r="E115" s="76" t="s">
        <v>73</v>
      </c>
      <c r="F115" s="77" t="s">
        <v>63</v>
      </c>
      <c r="G115" s="78">
        <v>1.05</v>
      </c>
      <c r="H115" s="79">
        <f>G115*H114</f>
        <v>91.906500000000008</v>
      </c>
      <c r="I115" s="80">
        <v>694.92</v>
      </c>
      <c r="J115" s="81">
        <f>H115*I115</f>
        <v>63867.664980000001</v>
      </c>
      <c r="K115" s="82"/>
      <c r="L115" s="74"/>
      <c r="P115" s="26">
        <f t="shared" si="1"/>
        <v>0</v>
      </c>
    </row>
    <row r="116" spans="4:16" ht="20" hidden="1" customHeight="1" outlineLevel="1">
      <c r="D116" s="75"/>
      <c r="E116" s="76" t="s">
        <v>118</v>
      </c>
      <c r="F116" s="77" t="s">
        <v>70</v>
      </c>
      <c r="G116" s="78">
        <v>0.2</v>
      </c>
      <c r="H116" s="79">
        <f>ROUND(H114*G116,1.5)</f>
        <v>17.5</v>
      </c>
      <c r="I116" s="80">
        <v>191.67</v>
      </c>
      <c r="J116" s="81">
        <f>H116*I116</f>
        <v>3354.2249999999999</v>
      </c>
      <c r="K116" s="82"/>
      <c r="L116" s="74"/>
      <c r="P116" s="26">
        <f t="shared" si="1"/>
        <v>0</v>
      </c>
    </row>
    <row r="117" spans="4:16" ht="30" customHeight="1" collapsed="1">
      <c r="D117" s="66" t="s">
        <v>74</v>
      </c>
      <c r="E117" s="67" t="s">
        <v>119</v>
      </c>
      <c r="F117" s="68" t="s">
        <v>63</v>
      </c>
      <c r="G117" s="69"/>
      <c r="H117" s="91">
        <v>748.11</v>
      </c>
      <c r="I117" s="71"/>
      <c r="J117" s="72"/>
      <c r="K117" s="73">
        <v>200</v>
      </c>
      <c r="L117" s="74">
        <f>H117*K117</f>
        <v>149622</v>
      </c>
      <c r="O117" s="26">
        <v>100</v>
      </c>
      <c r="P117" s="26">
        <f t="shared" si="1"/>
        <v>74811</v>
      </c>
    </row>
    <row r="118" spans="4:16" ht="20" hidden="1" customHeight="1" outlineLevel="1">
      <c r="D118" s="75"/>
      <c r="E118" s="76" t="s">
        <v>120</v>
      </c>
      <c r="F118" s="77" t="s">
        <v>63</v>
      </c>
      <c r="G118" s="78">
        <v>1.05</v>
      </c>
      <c r="H118" s="79">
        <f>H117*G118</f>
        <v>785.51550000000009</v>
      </c>
      <c r="I118" s="80">
        <v>138.47999999999999</v>
      </c>
      <c r="J118" s="81">
        <f>H118*I118</f>
        <v>108778.18644</v>
      </c>
      <c r="K118" s="82"/>
      <c r="L118" s="74"/>
      <c r="P118" s="26">
        <f t="shared" si="1"/>
        <v>0</v>
      </c>
    </row>
    <row r="119" spans="4:16" ht="20" hidden="1" customHeight="1" outlineLevel="1">
      <c r="D119" s="75"/>
      <c r="E119" s="76" t="s">
        <v>121</v>
      </c>
      <c r="F119" s="77" t="s">
        <v>70</v>
      </c>
      <c r="G119" s="78">
        <v>4</v>
      </c>
      <c r="H119" s="79">
        <f>H117*G119</f>
        <v>2992.44</v>
      </c>
      <c r="I119" s="80">
        <v>5.09</v>
      </c>
      <c r="J119" s="81">
        <f>H119*I119</f>
        <v>15231.5196</v>
      </c>
      <c r="K119" s="82"/>
      <c r="L119" s="74"/>
      <c r="P119" s="26">
        <f t="shared" si="1"/>
        <v>0</v>
      </c>
    </row>
    <row r="120" spans="4:16" ht="28.5" customHeight="1" collapsed="1">
      <c r="D120" s="66" t="s">
        <v>122</v>
      </c>
      <c r="E120" s="67" t="s">
        <v>123</v>
      </c>
      <c r="F120" s="68" t="s">
        <v>63</v>
      </c>
      <c r="G120" s="69"/>
      <c r="H120" s="91">
        <v>748.11</v>
      </c>
      <c r="I120" s="71"/>
      <c r="J120" s="72"/>
      <c r="K120" s="73">
        <v>200</v>
      </c>
      <c r="L120" s="74">
        <f>H120*K120</f>
        <v>149622</v>
      </c>
      <c r="O120" s="26">
        <v>100</v>
      </c>
      <c r="P120" s="26">
        <f t="shared" si="1"/>
        <v>74811</v>
      </c>
    </row>
    <row r="121" spans="4:16" ht="24.75" hidden="1" customHeight="1" outlineLevel="1">
      <c r="D121" s="75"/>
      <c r="E121" s="76" t="s">
        <v>124</v>
      </c>
      <c r="F121" s="77" t="s">
        <v>63</v>
      </c>
      <c r="G121" s="78">
        <v>1.05</v>
      </c>
      <c r="H121" s="79">
        <f>H120*G121</f>
        <v>785.51550000000009</v>
      </c>
      <c r="I121" s="80">
        <v>139.08000000000001</v>
      </c>
      <c r="J121" s="81">
        <f>H121*I121</f>
        <v>109249.49574000003</v>
      </c>
      <c r="K121" s="82"/>
      <c r="L121" s="74"/>
      <c r="P121" s="26">
        <f t="shared" si="1"/>
        <v>0</v>
      </c>
    </row>
    <row r="122" spans="4:16" ht="20" hidden="1" customHeight="1" outlineLevel="1">
      <c r="D122" s="75"/>
      <c r="E122" s="76" t="s">
        <v>69</v>
      </c>
      <c r="F122" s="77" t="s">
        <v>70</v>
      </c>
      <c r="G122" s="78">
        <v>4</v>
      </c>
      <c r="H122" s="79">
        <f>H120*G122</f>
        <v>2992.44</v>
      </c>
      <c r="I122" s="80">
        <v>8.52</v>
      </c>
      <c r="J122" s="81">
        <f>H122*I122</f>
        <v>25495.588799999998</v>
      </c>
      <c r="K122" s="82"/>
      <c r="L122" s="74"/>
      <c r="P122" s="26">
        <f t="shared" si="1"/>
        <v>0</v>
      </c>
    </row>
    <row r="123" spans="4:16" ht="26.25" customHeight="1" collapsed="1">
      <c r="D123" s="66" t="s">
        <v>125</v>
      </c>
      <c r="E123" s="67" t="s">
        <v>126</v>
      </c>
      <c r="F123" s="68" t="s">
        <v>63</v>
      </c>
      <c r="G123" s="69"/>
      <c r="H123" s="91">
        <v>891.19</v>
      </c>
      <c r="I123" s="71"/>
      <c r="J123" s="72"/>
      <c r="K123" s="73">
        <v>700</v>
      </c>
      <c r="L123" s="74">
        <f>H123*K123</f>
        <v>623833</v>
      </c>
      <c r="O123" s="26">
        <v>200</v>
      </c>
      <c r="P123" s="26">
        <f t="shared" si="1"/>
        <v>178238</v>
      </c>
    </row>
    <row r="124" spans="4:16" ht="20" hidden="1" customHeight="1" outlineLevel="1">
      <c r="D124" s="75"/>
      <c r="E124" s="76" t="s">
        <v>127</v>
      </c>
      <c r="F124" s="77" t="s">
        <v>70</v>
      </c>
      <c r="G124" s="78">
        <v>1.18</v>
      </c>
      <c r="H124" s="79">
        <f>H123*G124</f>
        <v>1051.6042</v>
      </c>
      <c r="I124" s="80">
        <v>708.3</v>
      </c>
      <c r="J124" s="81">
        <f>H124*I124</f>
        <v>744851.25485999999</v>
      </c>
      <c r="K124" s="82"/>
      <c r="L124" s="74"/>
      <c r="P124" s="26">
        <f t="shared" si="1"/>
        <v>0</v>
      </c>
    </row>
    <row r="125" spans="4:16" ht="20" hidden="1" customHeight="1" outlineLevel="1">
      <c r="D125" s="75"/>
      <c r="E125" s="76" t="s">
        <v>128</v>
      </c>
      <c r="F125" s="77" t="s">
        <v>70</v>
      </c>
      <c r="G125" s="78">
        <v>3.4</v>
      </c>
      <c r="H125" s="79">
        <f>H123*G125</f>
        <v>3030.0460000000003</v>
      </c>
      <c r="I125" s="80">
        <v>1.02</v>
      </c>
      <c r="J125" s="81">
        <f>H125*I125</f>
        <v>3090.6469200000001</v>
      </c>
      <c r="K125" s="82"/>
      <c r="L125" s="74"/>
      <c r="P125" s="26">
        <f t="shared" si="1"/>
        <v>0</v>
      </c>
    </row>
    <row r="126" spans="4:16" ht="20" hidden="1" customHeight="1" outlineLevel="1">
      <c r="D126" s="75"/>
      <c r="E126" s="76" t="s">
        <v>129</v>
      </c>
      <c r="F126" s="77" t="s">
        <v>70</v>
      </c>
      <c r="G126" s="78">
        <v>1.9</v>
      </c>
      <c r="H126" s="79">
        <f>H123*G126</f>
        <v>1693.261</v>
      </c>
      <c r="I126" s="80">
        <v>1.1000000000000001</v>
      </c>
      <c r="J126" s="81">
        <f>H126*I126</f>
        <v>1862.5871000000002</v>
      </c>
      <c r="K126" s="82"/>
      <c r="L126" s="74"/>
      <c r="P126" s="26">
        <f t="shared" si="1"/>
        <v>0</v>
      </c>
    </row>
    <row r="127" spans="4:16" ht="20" hidden="1" customHeight="1" outlineLevel="1">
      <c r="D127" s="75"/>
      <c r="E127" s="76" t="s">
        <v>130</v>
      </c>
      <c r="F127" s="77" t="s">
        <v>70</v>
      </c>
      <c r="G127" s="78">
        <v>3.4</v>
      </c>
      <c r="H127" s="79">
        <f>H123*G127</f>
        <v>3030.0460000000003</v>
      </c>
      <c r="I127" s="80">
        <v>7.95</v>
      </c>
      <c r="J127" s="81">
        <f>H127*I127</f>
        <v>24088.865700000002</v>
      </c>
      <c r="K127" s="82"/>
      <c r="L127" s="74"/>
      <c r="P127" s="26">
        <f t="shared" si="1"/>
        <v>0</v>
      </c>
    </row>
    <row r="128" spans="4:16" ht="20" customHeight="1" collapsed="1" thickBot="1">
      <c r="D128" s="66" t="s">
        <v>131</v>
      </c>
      <c r="E128" s="67" t="s">
        <v>132</v>
      </c>
      <c r="F128" s="68" t="s">
        <v>63</v>
      </c>
      <c r="G128" s="69"/>
      <c r="H128" s="91">
        <v>891.19</v>
      </c>
      <c r="I128" s="71"/>
      <c r="J128" s="72"/>
      <c r="K128" s="73">
        <v>700</v>
      </c>
      <c r="L128" s="74">
        <f>H128*K128</f>
        <v>623833</v>
      </c>
      <c r="O128" s="26">
        <v>400</v>
      </c>
      <c r="P128" s="26">
        <f t="shared" si="1"/>
        <v>356476</v>
      </c>
    </row>
    <row r="129" spans="4:16" ht="20" hidden="1" customHeight="1" outlineLevel="1">
      <c r="D129" s="75"/>
      <c r="E129" s="76" t="s">
        <v>133</v>
      </c>
      <c r="F129" s="77" t="s">
        <v>63</v>
      </c>
      <c r="G129" s="78">
        <v>1.25</v>
      </c>
      <c r="H129" s="79">
        <f>(500.7)*G129</f>
        <v>625.875</v>
      </c>
      <c r="I129" s="80">
        <v>1333.5</v>
      </c>
      <c r="J129" s="81">
        <f>H129*I129</f>
        <v>834604.3125</v>
      </c>
      <c r="K129" s="82"/>
      <c r="L129" s="83"/>
      <c r="P129" s="26">
        <f t="shared" si="1"/>
        <v>0</v>
      </c>
    </row>
    <row r="130" spans="4:16" ht="20" hidden="1" customHeight="1" outlineLevel="1">
      <c r="D130" s="75"/>
      <c r="E130" s="76" t="s">
        <v>134</v>
      </c>
      <c r="F130" s="77" t="s">
        <v>63</v>
      </c>
      <c r="G130" s="78">
        <v>1.25</v>
      </c>
      <c r="H130" s="79">
        <f>(348.05)*G130</f>
        <v>435.0625</v>
      </c>
      <c r="I130" s="80">
        <v>1333.5</v>
      </c>
      <c r="J130" s="81">
        <f>H130*I130</f>
        <v>580155.84375</v>
      </c>
      <c r="K130" s="82"/>
      <c r="L130" s="83"/>
      <c r="P130" s="26">
        <f t="shared" si="1"/>
        <v>0</v>
      </c>
    </row>
    <row r="131" spans="4:16" ht="20" hidden="1" customHeight="1" outlineLevel="1">
      <c r="D131" s="75"/>
      <c r="E131" s="76" t="s">
        <v>135</v>
      </c>
      <c r="F131" s="77" t="s">
        <v>88</v>
      </c>
      <c r="G131" s="78">
        <v>1.1499999999999999</v>
      </c>
      <c r="H131" s="79">
        <f>267*G131</f>
        <v>307.04999999999995</v>
      </c>
      <c r="I131" s="80">
        <v>102</v>
      </c>
      <c r="J131" s="81">
        <f>H131*I131</f>
        <v>31319.099999999995</v>
      </c>
      <c r="K131" s="82"/>
      <c r="L131" s="83"/>
      <c r="P131" s="26">
        <f t="shared" si="1"/>
        <v>0</v>
      </c>
    </row>
    <row r="132" spans="4:16" ht="20" hidden="1" customHeight="1" outlineLevel="1">
      <c r="D132" s="75"/>
      <c r="E132" s="76" t="s">
        <v>136</v>
      </c>
      <c r="F132" s="77" t="s">
        <v>88</v>
      </c>
      <c r="G132" s="78">
        <v>1.1499999999999999</v>
      </c>
      <c r="H132" s="79">
        <f>337*G132</f>
        <v>387.54999999999995</v>
      </c>
      <c r="I132" s="80">
        <v>102</v>
      </c>
      <c r="J132" s="81">
        <f>H132*I132</f>
        <v>39530.1</v>
      </c>
      <c r="K132" s="82"/>
      <c r="L132" s="83"/>
      <c r="P132" s="26">
        <f t="shared" si="1"/>
        <v>0</v>
      </c>
    </row>
    <row r="133" spans="4:16" ht="20" hidden="1" customHeight="1" outlineLevel="1">
      <c r="D133" s="75"/>
      <c r="E133" s="76" t="s">
        <v>137</v>
      </c>
      <c r="F133" s="77" t="s">
        <v>70</v>
      </c>
      <c r="G133" s="78">
        <v>3.9</v>
      </c>
      <c r="H133" s="79">
        <f>H128*G133</f>
        <v>3475.6410000000001</v>
      </c>
      <c r="I133" s="80">
        <v>1.83</v>
      </c>
      <c r="J133" s="81">
        <f>H133*I133</f>
        <v>6360.4230300000008</v>
      </c>
      <c r="K133" s="82"/>
      <c r="L133" s="83"/>
      <c r="P133" s="26">
        <f t="shared" si="1"/>
        <v>0</v>
      </c>
    </row>
    <row r="134" spans="4:16" ht="20" customHeight="1" collapsed="1" thickBot="1">
      <c r="D134" s="59"/>
      <c r="E134" s="60" t="s">
        <v>138</v>
      </c>
      <c r="F134" s="61"/>
      <c r="G134" s="62"/>
      <c r="H134" s="62"/>
      <c r="I134" s="63"/>
      <c r="J134" s="64"/>
      <c r="K134" s="62"/>
      <c r="L134" s="65"/>
      <c r="P134" s="26">
        <f t="shared" si="1"/>
        <v>0</v>
      </c>
    </row>
    <row r="135" spans="4:16" ht="28.5" customHeight="1">
      <c r="D135" s="66" t="s">
        <v>61</v>
      </c>
      <c r="E135" s="67" t="s">
        <v>139</v>
      </c>
      <c r="F135" s="68" t="s">
        <v>63</v>
      </c>
      <c r="G135" s="69"/>
      <c r="H135" s="91">
        <v>155.51</v>
      </c>
      <c r="I135" s="71"/>
      <c r="J135" s="72"/>
      <c r="K135" s="73">
        <v>250</v>
      </c>
      <c r="L135" s="74">
        <f>H135*K135</f>
        <v>38877.5</v>
      </c>
      <c r="O135" s="26">
        <v>150</v>
      </c>
      <c r="P135" s="26">
        <f t="shared" si="1"/>
        <v>23326.5</v>
      </c>
    </row>
    <row r="136" spans="4:16" ht="20" hidden="1" customHeight="1" outlineLevel="1">
      <c r="D136" s="75"/>
      <c r="E136" s="76" t="s">
        <v>140</v>
      </c>
      <c r="F136" s="77" t="s">
        <v>63</v>
      </c>
      <c r="G136" s="78">
        <v>1.05</v>
      </c>
      <c r="H136" s="79">
        <f>G136*H135</f>
        <v>163.28549999999998</v>
      </c>
      <c r="I136" s="80">
        <v>364.5</v>
      </c>
      <c r="J136" s="81">
        <f>H136*I136</f>
        <v>59517.564749999998</v>
      </c>
      <c r="K136" s="82"/>
      <c r="L136" s="83"/>
      <c r="P136" s="26">
        <f t="shared" si="1"/>
        <v>0</v>
      </c>
    </row>
    <row r="137" spans="4:16" ht="20" hidden="1" customHeight="1" outlineLevel="1">
      <c r="D137" s="75"/>
      <c r="E137" s="76" t="s">
        <v>65</v>
      </c>
      <c r="F137" s="77" t="s">
        <v>66</v>
      </c>
      <c r="G137" s="78">
        <v>0.15</v>
      </c>
      <c r="H137" s="79">
        <f>G137*H135</f>
        <v>23.326499999999999</v>
      </c>
      <c r="I137" s="80">
        <v>25</v>
      </c>
      <c r="J137" s="81">
        <f>H137*I137</f>
        <v>583.16250000000002</v>
      </c>
      <c r="K137" s="82"/>
      <c r="L137" s="83"/>
      <c r="P137" s="26">
        <f t="shared" si="1"/>
        <v>0</v>
      </c>
    </row>
    <row r="138" spans="4:16" ht="20" hidden="1" customHeight="1" outlineLevel="1">
      <c r="D138" s="75"/>
      <c r="E138" s="76" t="s">
        <v>67</v>
      </c>
      <c r="F138" s="77" t="s">
        <v>68</v>
      </c>
      <c r="G138" s="78">
        <v>11</v>
      </c>
      <c r="H138" s="79">
        <f>ROUND(G138*H135,0)</f>
        <v>1711</v>
      </c>
      <c r="I138" s="80">
        <v>6.48</v>
      </c>
      <c r="J138" s="81">
        <f>H138*I138</f>
        <v>11087.28</v>
      </c>
      <c r="K138" s="82"/>
      <c r="L138" s="83"/>
      <c r="P138" s="26">
        <f t="shared" si="1"/>
        <v>0</v>
      </c>
    </row>
    <row r="139" spans="4:16" ht="20" hidden="1" customHeight="1" outlineLevel="1">
      <c r="D139" s="75"/>
      <c r="E139" s="76" t="s">
        <v>141</v>
      </c>
      <c r="F139" s="77" t="s">
        <v>70</v>
      </c>
      <c r="G139" s="78">
        <v>8</v>
      </c>
      <c r="H139" s="79">
        <f>ROUND(G139*H135,0)</f>
        <v>1244</v>
      </c>
      <c r="I139" s="80">
        <v>10.17</v>
      </c>
      <c r="J139" s="81">
        <f>H139*I139</f>
        <v>12651.48</v>
      </c>
      <c r="K139" s="82"/>
      <c r="L139" s="83"/>
      <c r="P139" s="26">
        <f t="shared" si="1"/>
        <v>0</v>
      </c>
    </row>
    <row r="140" spans="4:16" ht="27.75" customHeight="1" collapsed="1">
      <c r="D140" s="66" t="s">
        <v>71</v>
      </c>
      <c r="E140" s="67" t="s">
        <v>142</v>
      </c>
      <c r="F140" s="68" t="s">
        <v>63</v>
      </c>
      <c r="G140" s="69"/>
      <c r="H140" s="69">
        <v>92.53</v>
      </c>
      <c r="I140" s="71"/>
      <c r="J140" s="72"/>
      <c r="K140" s="73">
        <v>250</v>
      </c>
      <c r="L140" s="74">
        <f>H140*K140</f>
        <v>23132.5</v>
      </c>
      <c r="O140" s="26">
        <v>150</v>
      </c>
      <c r="P140" s="26">
        <f t="shared" si="1"/>
        <v>13879.5</v>
      </c>
    </row>
    <row r="141" spans="4:16" ht="20" hidden="1" customHeight="1" outlineLevel="1">
      <c r="D141" s="75"/>
      <c r="E141" s="76" t="s">
        <v>143</v>
      </c>
      <c r="F141" s="77" t="s">
        <v>63</v>
      </c>
      <c r="G141" s="78">
        <v>1.05</v>
      </c>
      <c r="H141" s="79">
        <f>G141*H140</f>
        <v>97.156500000000008</v>
      </c>
      <c r="I141" s="80">
        <v>463.28</v>
      </c>
      <c r="J141" s="81">
        <f>H141*I141</f>
        <v>45010.66332</v>
      </c>
      <c r="K141" s="82"/>
      <c r="L141" s="83"/>
      <c r="P141" s="26">
        <f t="shared" si="1"/>
        <v>0</v>
      </c>
    </row>
    <row r="142" spans="4:16" ht="20" hidden="1" customHeight="1" outlineLevel="1">
      <c r="D142" s="75"/>
      <c r="E142" s="76" t="s">
        <v>65</v>
      </c>
      <c r="F142" s="77" t="s">
        <v>66</v>
      </c>
      <c r="G142" s="78">
        <v>0.15</v>
      </c>
      <c r="H142" s="79">
        <f>G142*H140</f>
        <v>13.8795</v>
      </c>
      <c r="I142" s="80">
        <v>25</v>
      </c>
      <c r="J142" s="81">
        <f>H142*I142</f>
        <v>346.98750000000001</v>
      </c>
      <c r="K142" s="82"/>
      <c r="L142" s="83"/>
      <c r="P142" s="26">
        <f t="shared" si="1"/>
        <v>0</v>
      </c>
    </row>
    <row r="143" spans="4:16" ht="20" hidden="1" customHeight="1" outlineLevel="1">
      <c r="D143" s="75"/>
      <c r="E143" s="76" t="s">
        <v>67</v>
      </c>
      <c r="F143" s="77" t="s">
        <v>68</v>
      </c>
      <c r="G143" s="78">
        <v>11</v>
      </c>
      <c r="H143" s="79">
        <f>ROUND(G143*H140,0)</f>
        <v>1018</v>
      </c>
      <c r="I143" s="80">
        <v>6.48</v>
      </c>
      <c r="J143" s="81">
        <f>H143*I143</f>
        <v>6596.64</v>
      </c>
      <c r="K143" s="82"/>
      <c r="L143" s="83"/>
      <c r="P143" s="26">
        <f t="shared" si="1"/>
        <v>0</v>
      </c>
    </row>
    <row r="144" spans="4:16" ht="20" hidden="1" customHeight="1" outlineLevel="1">
      <c r="D144" s="75"/>
      <c r="E144" s="76" t="s">
        <v>144</v>
      </c>
      <c r="F144" s="77" t="s">
        <v>70</v>
      </c>
      <c r="G144" s="78">
        <v>8</v>
      </c>
      <c r="H144" s="79">
        <f>ROUND(G144*H140,0)</f>
        <v>740</v>
      </c>
      <c r="I144" s="80">
        <v>5.09</v>
      </c>
      <c r="J144" s="81">
        <f>H144*I144</f>
        <v>3766.6</v>
      </c>
      <c r="K144" s="82"/>
      <c r="L144" s="83"/>
      <c r="P144" s="26">
        <f t="shared" si="1"/>
        <v>0</v>
      </c>
    </row>
    <row r="145" spans="4:16" ht="26.25" customHeight="1" collapsed="1">
      <c r="D145" s="66" t="s">
        <v>71</v>
      </c>
      <c r="E145" s="67" t="s">
        <v>95</v>
      </c>
      <c r="F145" s="68" t="s">
        <v>63</v>
      </c>
      <c r="G145" s="69"/>
      <c r="H145" s="69">
        <v>61.06</v>
      </c>
      <c r="I145" s="71"/>
      <c r="J145" s="72"/>
      <c r="K145" s="73">
        <v>250</v>
      </c>
      <c r="L145" s="74">
        <f>H145*K145</f>
        <v>15265</v>
      </c>
      <c r="O145" s="26">
        <v>150</v>
      </c>
      <c r="P145" s="26">
        <f t="shared" si="1"/>
        <v>9159</v>
      </c>
    </row>
    <row r="146" spans="4:16" ht="20" hidden="1" customHeight="1" outlineLevel="1">
      <c r="D146" s="75"/>
      <c r="E146" s="76" t="s">
        <v>96</v>
      </c>
      <c r="F146" s="77" t="s">
        <v>63</v>
      </c>
      <c r="G146" s="78">
        <v>1.05</v>
      </c>
      <c r="H146" s="79">
        <f>G146*H145</f>
        <v>64.113</v>
      </c>
      <c r="I146" s="80">
        <v>231.64</v>
      </c>
      <c r="J146" s="81">
        <f>H146*I146</f>
        <v>14851.135319999999</v>
      </c>
      <c r="K146" s="82"/>
      <c r="L146" s="74"/>
      <c r="P146" s="26">
        <f t="shared" si="1"/>
        <v>0</v>
      </c>
    </row>
    <row r="147" spans="4:16" ht="20" hidden="1" customHeight="1" outlineLevel="1">
      <c r="D147" s="75"/>
      <c r="E147" s="76" t="s">
        <v>65</v>
      </c>
      <c r="F147" s="77" t="s">
        <v>66</v>
      </c>
      <c r="G147" s="78">
        <v>0.15</v>
      </c>
      <c r="H147" s="79">
        <f>G147*H145</f>
        <v>9.1590000000000007</v>
      </c>
      <c r="I147" s="80">
        <v>25</v>
      </c>
      <c r="J147" s="81">
        <f>H147*I147</f>
        <v>228.97500000000002</v>
      </c>
      <c r="K147" s="82"/>
      <c r="L147" s="74"/>
      <c r="P147" s="26">
        <f t="shared" si="1"/>
        <v>0</v>
      </c>
    </row>
    <row r="148" spans="4:16" ht="27.75" hidden="1" customHeight="1" outlineLevel="1">
      <c r="D148" s="75"/>
      <c r="E148" s="76" t="s">
        <v>67</v>
      </c>
      <c r="F148" s="77" t="s">
        <v>68</v>
      </c>
      <c r="G148" s="78">
        <v>11</v>
      </c>
      <c r="H148" s="79">
        <f>ROUND(G148*H145,0)</f>
        <v>672</v>
      </c>
      <c r="I148" s="80">
        <v>6.48</v>
      </c>
      <c r="J148" s="81">
        <f>H148*I148</f>
        <v>4354.5600000000004</v>
      </c>
      <c r="K148" s="82"/>
      <c r="L148" s="74"/>
      <c r="P148" s="26">
        <f t="shared" si="1"/>
        <v>0</v>
      </c>
    </row>
    <row r="149" spans="4:16" ht="28.5" hidden="1" customHeight="1" outlineLevel="1">
      <c r="D149" s="75"/>
      <c r="E149" s="76" t="s">
        <v>97</v>
      </c>
      <c r="F149" s="77" t="s">
        <v>70</v>
      </c>
      <c r="G149" s="78">
        <v>8</v>
      </c>
      <c r="H149" s="79">
        <f>ROUND(G149*H145,0)</f>
        <v>488</v>
      </c>
      <c r="I149" s="80">
        <v>3.36</v>
      </c>
      <c r="J149" s="81">
        <f>H149*I149</f>
        <v>1639.6799999999998</v>
      </c>
      <c r="K149" s="82"/>
      <c r="L149" s="74"/>
      <c r="P149" s="26">
        <f t="shared" ref="P149:P212" si="3">O149*H149</f>
        <v>0</v>
      </c>
    </row>
    <row r="150" spans="4:16" ht="23.25" customHeight="1" collapsed="1">
      <c r="D150" s="66" t="s">
        <v>71</v>
      </c>
      <c r="E150" s="67" t="s">
        <v>98</v>
      </c>
      <c r="F150" s="68" t="s">
        <v>63</v>
      </c>
      <c r="G150" s="69"/>
      <c r="H150" s="70">
        <f>H135+H140+H145</f>
        <v>309.10000000000002</v>
      </c>
      <c r="I150" s="71"/>
      <c r="J150" s="72"/>
      <c r="K150" s="73">
        <v>250</v>
      </c>
      <c r="L150" s="74">
        <f>H150*K150</f>
        <v>77275</v>
      </c>
      <c r="O150" s="26">
        <v>150</v>
      </c>
      <c r="P150" s="26">
        <f t="shared" si="3"/>
        <v>46365</v>
      </c>
    </row>
    <row r="151" spans="4:16" ht="29.25" hidden="1" customHeight="1" outlineLevel="1">
      <c r="D151" s="75"/>
      <c r="E151" s="76" t="s">
        <v>145</v>
      </c>
      <c r="F151" s="77" t="s">
        <v>68</v>
      </c>
      <c r="G151" s="78">
        <v>6</v>
      </c>
      <c r="H151" s="79">
        <f>G151*H150</f>
        <v>1854.6000000000001</v>
      </c>
      <c r="I151" s="80">
        <v>7.87</v>
      </c>
      <c r="J151" s="81">
        <f>H151*I151</f>
        <v>14595.702000000001</v>
      </c>
      <c r="K151" s="82"/>
      <c r="L151" s="74"/>
      <c r="P151" s="26">
        <f t="shared" si="3"/>
        <v>0</v>
      </c>
    </row>
    <row r="152" spans="4:16" ht="29.25" hidden="1" customHeight="1" outlineLevel="1">
      <c r="D152" s="75"/>
      <c r="E152" s="76" t="s">
        <v>146</v>
      </c>
      <c r="F152" s="77" t="s">
        <v>63</v>
      </c>
      <c r="G152" s="78">
        <v>1.1499999999999999</v>
      </c>
      <c r="H152" s="79">
        <f>G152*H150</f>
        <v>355.46499999999997</v>
      </c>
      <c r="I152" s="80">
        <v>32</v>
      </c>
      <c r="J152" s="81">
        <f>H152*I152</f>
        <v>11374.88</v>
      </c>
      <c r="K152" s="82"/>
      <c r="L152" s="74"/>
      <c r="P152" s="26">
        <f t="shared" si="3"/>
        <v>0</v>
      </c>
    </row>
    <row r="153" spans="4:16" ht="20" hidden="1" customHeight="1" outlineLevel="1">
      <c r="D153" s="75"/>
      <c r="E153" s="76" t="s">
        <v>89</v>
      </c>
      <c r="F153" s="77" t="s">
        <v>88</v>
      </c>
      <c r="G153" s="78">
        <v>1.1000000000000001</v>
      </c>
      <c r="H153" s="79">
        <f>G153*(746.89)</f>
        <v>821.57900000000006</v>
      </c>
      <c r="I153" s="80">
        <v>9.6</v>
      </c>
      <c r="J153" s="81">
        <f>H153*I153</f>
        <v>7887.1584000000003</v>
      </c>
      <c r="K153" s="82"/>
      <c r="L153" s="74"/>
      <c r="P153" s="26">
        <f t="shared" si="3"/>
        <v>0</v>
      </c>
    </row>
    <row r="154" spans="4:16" ht="28.5" customHeight="1" collapsed="1" thickBot="1">
      <c r="D154" s="92" t="s">
        <v>74</v>
      </c>
      <c r="E154" s="93" t="s">
        <v>147</v>
      </c>
      <c r="F154" s="94" t="s">
        <v>63</v>
      </c>
      <c r="G154" s="69"/>
      <c r="H154" s="70">
        <f>H150</f>
        <v>309.10000000000002</v>
      </c>
      <c r="I154" s="71"/>
      <c r="J154" s="95"/>
      <c r="K154" s="96">
        <v>200</v>
      </c>
      <c r="L154" s="74">
        <f>H154*K154</f>
        <v>61820.000000000007</v>
      </c>
      <c r="O154" s="26">
        <v>150</v>
      </c>
      <c r="P154" s="26">
        <f t="shared" si="3"/>
        <v>46365</v>
      </c>
    </row>
    <row r="155" spans="4:16" ht="20" hidden="1" customHeight="1" outlineLevel="1">
      <c r="D155" s="75"/>
      <c r="E155" s="76" t="s">
        <v>148</v>
      </c>
      <c r="F155" s="77" t="s">
        <v>68</v>
      </c>
      <c r="G155" s="78">
        <v>0.35</v>
      </c>
      <c r="H155" s="79">
        <f>H154*G155</f>
        <v>108.185</v>
      </c>
      <c r="I155" s="80">
        <v>40.72</v>
      </c>
      <c r="J155" s="81">
        <f>H155*I155</f>
        <v>4405.2932000000001</v>
      </c>
      <c r="K155" s="82"/>
      <c r="L155" s="83"/>
      <c r="P155" s="26">
        <f t="shared" si="3"/>
        <v>0</v>
      </c>
    </row>
    <row r="156" spans="4:16" ht="33.75" hidden="1" customHeight="1" outlineLevel="1">
      <c r="D156" s="75"/>
      <c r="E156" s="76" t="s">
        <v>149</v>
      </c>
      <c r="F156" s="77" t="s">
        <v>68</v>
      </c>
      <c r="G156" s="78">
        <v>2.6</v>
      </c>
      <c r="H156" s="79">
        <f>H154*G156</f>
        <v>803.66000000000008</v>
      </c>
      <c r="I156" s="80">
        <v>87.41</v>
      </c>
      <c r="J156" s="81">
        <f>H156*I156</f>
        <v>70247.920599999998</v>
      </c>
      <c r="K156" s="82"/>
      <c r="L156" s="83"/>
      <c r="P156" s="26">
        <f t="shared" si="3"/>
        <v>0</v>
      </c>
    </row>
    <row r="157" spans="4:16" ht="20" hidden="1" customHeight="1" outlineLevel="1">
      <c r="D157" s="75"/>
      <c r="E157" s="76" t="s">
        <v>150</v>
      </c>
      <c r="F157" s="77" t="s">
        <v>88</v>
      </c>
      <c r="G157" s="78">
        <v>0.5</v>
      </c>
      <c r="H157" s="79">
        <f>H154*G157</f>
        <v>154.55000000000001</v>
      </c>
      <c r="I157" s="80">
        <v>1.87</v>
      </c>
      <c r="J157" s="81">
        <f>H157*I157</f>
        <v>289.00850000000003</v>
      </c>
      <c r="K157" s="82"/>
      <c r="L157" s="83"/>
      <c r="P157" s="26">
        <f t="shared" si="3"/>
        <v>0</v>
      </c>
    </row>
    <row r="158" spans="4:16" ht="20" customHeight="1" collapsed="1" thickBot="1">
      <c r="D158" s="59"/>
      <c r="E158" s="60" t="s">
        <v>151</v>
      </c>
      <c r="F158" s="61"/>
      <c r="G158" s="62"/>
      <c r="H158" s="62"/>
      <c r="I158" s="63"/>
      <c r="J158" s="64"/>
      <c r="K158" s="62"/>
      <c r="L158" s="65"/>
      <c r="P158" s="26">
        <f t="shared" si="3"/>
        <v>0</v>
      </c>
    </row>
    <row r="159" spans="4:16" ht="20" customHeight="1">
      <c r="D159" s="92" t="s">
        <v>61</v>
      </c>
      <c r="E159" s="93" t="s">
        <v>152</v>
      </c>
      <c r="F159" s="94" t="s">
        <v>88</v>
      </c>
      <c r="G159" s="97"/>
      <c r="H159" s="98">
        <v>29.55</v>
      </c>
      <c r="I159" s="99"/>
      <c r="J159" s="95"/>
      <c r="K159" s="96">
        <v>119.99700000000001</v>
      </c>
      <c r="L159" s="74">
        <f>H159*K159</f>
        <v>3545.9113500000003</v>
      </c>
      <c r="O159" s="26">
        <v>150</v>
      </c>
      <c r="P159" s="26">
        <f t="shared" si="3"/>
        <v>4432.5</v>
      </c>
    </row>
    <row r="160" spans="4:16" ht="20" customHeight="1">
      <c r="D160" s="92"/>
      <c r="E160" s="93"/>
      <c r="F160" s="94" t="s">
        <v>63</v>
      </c>
      <c r="G160" s="97">
        <v>0.17</v>
      </c>
      <c r="H160" s="98">
        <f>G160*H159</f>
        <v>5.0235000000000003</v>
      </c>
      <c r="I160" s="99"/>
      <c r="J160" s="95"/>
      <c r="K160" s="96"/>
      <c r="L160" s="74"/>
      <c r="P160" s="26">
        <f t="shared" si="3"/>
        <v>0</v>
      </c>
    </row>
    <row r="161" spans="4:16" ht="26.25" hidden="1" customHeight="1" outlineLevel="1">
      <c r="D161" s="75"/>
      <c r="E161" s="76" t="s">
        <v>145</v>
      </c>
      <c r="F161" s="77" t="s">
        <v>68</v>
      </c>
      <c r="G161" s="78">
        <v>6</v>
      </c>
      <c r="H161" s="79">
        <f>G161*H160</f>
        <v>30.141000000000002</v>
      </c>
      <c r="I161" s="80">
        <v>7.87</v>
      </c>
      <c r="J161" s="81">
        <f>H161*I161</f>
        <v>237.20967000000002</v>
      </c>
      <c r="K161" s="82"/>
      <c r="L161" s="83"/>
      <c r="P161" s="26">
        <f t="shared" si="3"/>
        <v>0</v>
      </c>
    </row>
    <row r="162" spans="4:16" ht="27" hidden="1" customHeight="1" outlineLevel="1">
      <c r="D162" s="75"/>
      <c r="E162" s="76" t="s">
        <v>146</v>
      </c>
      <c r="F162" s="77" t="s">
        <v>63</v>
      </c>
      <c r="G162" s="78">
        <v>1.1499999999999999</v>
      </c>
      <c r="H162" s="79">
        <f>G162*H160</f>
        <v>5.7770250000000001</v>
      </c>
      <c r="I162" s="80">
        <v>32</v>
      </c>
      <c r="J162" s="81">
        <f>H162*I162</f>
        <v>184.8648</v>
      </c>
      <c r="K162" s="82"/>
      <c r="L162" s="83"/>
      <c r="P162" s="26">
        <f t="shared" si="3"/>
        <v>0</v>
      </c>
    </row>
    <row r="163" spans="4:16" ht="20" hidden="1" customHeight="1" outlineLevel="1">
      <c r="D163" s="75"/>
      <c r="E163" s="76" t="s">
        <v>89</v>
      </c>
      <c r="F163" s="77" t="s">
        <v>88</v>
      </c>
      <c r="G163" s="78">
        <v>1.1000000000000001</v>
      </c>
      <c r="H163" s="79">
        <f>G163*H159</f>
        <v>32.505000000000003</v>
      </c>
      <c r="I163" s="80">
        <v>9.6</v>
      </c>
      <c r="J163" s="81">
        <f>H163*I163</f>
        <v>312.048</v>
      </c>
      <c r="K163" s="82"/>
      <c r="L163" s="83"/>
      <c r="P163" s="26">
        <f t="shared" si="3"/>
        <v>0</v>
      </c>
    </row>
    <row r="164" spans="4:16" ht="27.75" customHeight="1" collapsed="1">
      <c r="D164" s="92" t="s">
        <v>71</v>
      </c>
      <c r="E164" s="93" t="s">
        <v>147</v>
      </c>
      <c r="F164" s="94" t="s">
        <v>88</v>
      </c>
      <c r="G164" s="69"/>
      <c r="H164" s="98">
        <f>H159</f>
        <v>29.55</v>
      </c>
      <c r="I164" s="71"/>
      <c r="J164" s="95"/>
      <c r="K164" s="96">
        <v>120</v>
      </c>
      <c r="L164" s="74">
        <f>H164*K164</f>
        <v>3546</v>
      </c>
      <c r="O164" s="26">
        <v>150</v>
      </c>
      <c r="P164" s="26">
        <f t="shared" si="3"/>
        <v>4432.5</v>
      </c>
    </row>
    <row r="165" spans="4:16" ht="20" customHeight="1" thickBot="1">
      <c r="D165" s="92"/>
      <c r="E165" s="93"/>
      <c r="F165" s="94" t="s">
        <v>63</v>
      </c>
      <c r="G165" s="97">
        <v>0.17</v>
      </c>
      <c r="H165" s="98">
        <f>G165*H164</f>
        <v>5.0235000000000003</v>
      </c>
      <c r="I165" s="99"/>
      <c r="J165" s="95"/>
      <c r="K165" s="96"/>
      <c r="L165" s="74"/>
      <c r="P165" s="26">
        <f t="shared" si="3"/>
        <v>0</v>
      </c>
    </row>
    <row r="166" spans="4:16" ht="20" hidden="1" customHeight="1" outlineLevel="1">
      <c r="D166" s="75"/>
      <c r="E166" s="76" t="s">
        <v>148</v>
      </c>
      <c r="F166" s="77" t="s">
        <v>68</v>
      </c>
      <c r="G166" s="78">
        <v>0.35</v>
      </c>
      <c r="H166" s="79">
        <f>H164*G166</f>
        <v>10.342499999999999</v>
      </c>
      <c r="I166" s="80">
        <v>40.72</v>
      </c>
      <c r="J166" s="81">
        <f>H166*I166</f>
        <v>421.14659999999998</v>
      </c>
      <c r="K166" s="82"/>
      <c r="L166" s="83"/>
      <c r="P166" s="26">
        <f t="shared" si="3"/>
        <v>0</v>
      </c>
    </row>
    <row r="167" spans="4:16" ht="27.75" hidden="1" customHeight="1" outlineLevel="1">
      <c r="D167" s="75"/>
      <c r="E167" s="76" t="s">
        <v>149</v>
      </c>
      <c r="F167" s="77" t="s">
        <v>68</v>
      </c>
      <c r="G167" s="78">
        <v>2.6</v>
      </c>
      <c r="H167" s="79">
        <f>H164*G167</f>
        <v>76.83</v>
      </c>
      <c r="I167" s="80">
        <v>87.41</v>
      </c>
      <c r="J167" s="81">
        <f>H167*I167</f>
        <v>6715.7102999999997</v>
      </c>
      <c r="K167" s="82"/>
      <c r="L167" s="83"/>
      <c r="P167" s="26">
        <f t="shared" si="3"/>
        <v>0</v>
      </c>
    </row>
    <row r="168" spans="4:16" ht="20" hidden="1" customHeight="1" outlineLevel="1">
      <c r="D168" s="75"/>
      <c r="E168" s="76" t="s">
        <v>150</v>
      </c>
      <c r="F168" s="77" t="s">
        <v>88</v>
      </c>
      <c r="G168" s="78">
        <v>0.5</v>
      </c>
      <c r="H168" s="79">
        <f>H164*G168</f>
        <v>14.775</v>
      </c>
      <c r="I168" s="80">
        <v>1.87</v>
      </c>
      <c r="J168" s="81">
        <f>H168*I168</f>
        <v>27.629250000000003</v>
      </c>
      <c r="K168" s="82"/>
      <c r="L168" s="83"/>
      <c r="O168" s="100"/>
      <c r="P168" s="26">
        <f t="shared" si="3"/>
        <v>0</v>
      </c>
    </row>
    <row r="169" spans="4:16" s="101" customFormat="1" ht="21.5" customHeight="1" collapsed="1" thickBot="1">
      <c r="D169" s="59"/>
      <c r="E169" s="60" t="s">
        <v>153</v>
      </c>
      <c r="F169" s="61"/>
      <c r="G169" s="62"/>
      <c r="H169" s="62"/>
      <c r="I169" s="63"/>
      <c r="J169" s="64"/>
      <c r="K169" s="62"/>
      <c r="L169" s="65"/>
      <c r="O169" s="102"/>
      <c r="P169" s="26">
        <f t="shared" si="3"/>
        <v>0</v>
      </c>
    </row>
    <row r="170" spans="4:16" s="101" customFormat="1" ht="21" customHeight="1">
      <c r="D170" s="92" t="s">
        <v>61</v>
      </c>
      <c r="E170" s="93" t="s">
        <v>152</v>
      </c>
      <c r="F170" s="94" t="s">
        <v>88</v>
      </c>
      <c r="G170" s="97"/>
      <c r="H170" s="98">
        <v>228</v>
      </c>
      <c r="I170" s="99"/>
      <c r="J170" s="95"/>
      <c r="K170" s="96">
        <v>119.99700000000001</v>
      </c>
      <c r="L170" s="74">
        <f>H170*K170</f>
        <v>27359.316000000003</v>
      </c>
      <c r="N170" s="103"/>
      <c r="O170" s="102"/>
      <c r="P170" s="26">
        <f t="shared" si="3"/>
        <v>0</v>
      </c>
    </row>
    <row r="171" spans="4:16" s="101" customFormat="1" ht="21" customHeight="1">
      <c r="D171" s="92"/>
      <c r="E171" s="93"/>
      <c r="F171" s="94" t="s">
        <v>63</v>
      </c>
      <c r="G171" s="97">
        <v>0.3</v>
      </c>
      <c r="H171" s="98">
        <f>G171*H170</f>
        <v>68.399999999999991</v>
      </c>
      <c r="I171" s="99"/>
      <c r="J171" s="95"/>
      <c r="K171" s="96"/>
      <c r="L171" s="74"/>
      <c r="N171" s="103"/>
      <c r="O171" s="102">
        <v>150</v>
      </c>
      <c r="P171" s="26">
        <f t="shared" si="3"/>
        <v>10259.999999999998</v>
      </c>
    </row>
    <row r="172" spans="4:16" s="101" customFormat="1" ht="21" customHeight="1">
      <c r="D172" s="75"/>
      <c r="E172" s="76" t="s">
        <v>145</v>
      </c>
      <c r="F172" s="77" t="s">
        <v>68</v>
      </c>
      <c r="G172" s="78">
        <v>6</v>
      </c>
      <c r="H172" s="79">
        <f>G172*H171</f>
        <v>410.4</v>
      </c>
      <c r="I172" s="80">
        <v>7.87</v>
      </c>
      <c r="J172" s="81">
        <f>H172*I172</f>
        <v>3229.848</v>
      </c>
      <c r="K172" s="82"/>
      <c r="L172" s="83"/>
      <c r="O172" s="102"/>
      <c r="P172" s="26">
        <f t="shared" si="3"/>
        <v>0</v>
      </c>
    </row>
    <row r="173" spans="4:16" s="101" customFormat="1" ht="21" customHeight="1">
      <c r="D173" s="75"/>
      <c r="E173" s="76" t="s">
        <v>146</v>
      </c>
      <c r="F173" s="77" t="s">
        <v>63</v>
      </c>
      <c r="G173" s="78">
        <v>1.1499999999999999</v>
      </c>
      <c r="H173" s="79">
        <f>G173*H171</f>
        <v>78.659999999999982</v>
      </c>
      <c r="I173" s="80">
        <v>32</v>
      </c>
      <c r="J173" s="81">
        <f>H173*I173</f>
        <v>2517.1199999999994</v>
      </c>
      <c r="K173" s="82"/>
      <c r="L173" s="83"/>
      <c r="O173" s="102"/>
      <c r="P173" s="26">
        <f t="shared" si="3"/>
        <v>0</v>
      </c>
    </row>
    <row r="174" spans="4:16" s="101" customFormat="1" ht="21" customHeight="1">
      <c r="D174" s="75"/>
      <c r="E174" s="76" t="s">
        <v>89</v>
      </c>
      <c r="F174" s="77" t="s">
        <v>88</v>
      </c>
      <c r="G174" s="78">
        <v>1.1000000000000001</v>
      </c>
      <c r="H174" s="79">
        <f>G174*152</f>
        <v>167.20000000000002</v>
      </c>
      <c r="I174" s="80">
        <v>9.6</v>
      </c>
      <c r="J174" s="81">
        <f>H174*I174</f>
        <v>1605.1200000000001</v>
      </c>
      <c r="K174" s="82"/>
      <c r="L174" s="83"/>
      <c r="O174" s="102"/>
      <c r="P174" s="26">
        <f t="shared" si="3"/>
        <v>0</v>
      </c>
    </row>
    <row r="175" spans="4:16" s="101" customFormat="1" ht="21.5" customHeight="1">
      <c r="D175" s="92" t="s">
        <v>71</v>
      </c>
      <c r="E175" s="93" t="s">
        <v>147</v>
      </c>
      <c r="F175" s="94" t="s">
        <v>88</v>
      </c>
      <c r="G175" s="69"/>
      <c r="H175" s="98">
        <f>H170</f>
        <v>228</v>
      </c>
      <c r="I175" s="71"/>
      <c r="J175" s="95"/>
      <c r="K175" s="96">
        <v>120</v>
      </c>
      <c r="L175" s="104">
        <f>H175*K175</f>
        <v>27360</v>
      </c>
      <c r="N175" s="103"/>
      <c r="O175" s="102"/>
      <c r="P175" s="26">
        <f t="shared" si="3"/>
        <v>0</v>
      </c>
    </row>
    <row r="176" spans="4:16" s="101" customFormat="1" ht="21" customHeight="1">
      <c r="D176" s="92"/>
      <c r="E176" s="93"/>
      <c r="F176" s="94" t="s">
        <v>63</v>
      </c>
      <c r="G176" s="97">
        <v>0.3</v>
      </c>
      <c r="H176" s="98">
        <f>G176*H175</f>
        <v>68.399999999999991</v>
      </c>
      <c r="I176" s="99"/>
      <c r="J176" s="95"/>
      <c r="K176" s="96"/>
      <c r="L176" s="74"/>
      <c r="N176" s="103"/>
      <c r="O176" s="102">
        <v>150</v>
      </c>
      <c r="P176" s="26">
        <f t="shared" si="3"/>
        <v>10259.999999999998</v>
      </c>
    </row>
    <row r="177" spans="4:16" s="101" customFormat="1" ht="21" customHeight="1">
      <c r="D177" s="75"/>
      <c r="E177" s="76" t="s">
        <v>148</v>
      </c>
      <c r="F177" s="77" t="s">
        <v>68</v>
      </c>
      <c r="G177" s="78">
        <v>0.35</v>
      </c>
      <c r="H177" s="79">
        <f>H175*G177</f>
        <v>79.8</v>
      </c>
      <c r="I177" s="80">
        <v>40.72</v>
      </c>
      <c r="J177" s="81">
        <f>H177*I177</f>
        <v>3249.4559999999997</v>
      </c>
      <c r="K177" s="82"/>
      <c r="L177" s="83"/>
      <c r="O177" s="102"/>
      <c r="P177" s="26">
        <f t="shared" si="3"/>
        <v>0</v>
      </c>
    </row>
    <row r="178" spans="4:16" s="101" customFormat="1" ht="21" customHeight="1">
      <c r="D178" s="75"/>
      <c r="E178" s="76" t="s">
        <v>149</v>
      </c>
      <c r="F178" s="77" t="s">
        <v>68</v>
      </c>
      <c r="G178" s="78">
        <v>2.6</v>
      </c>
      <c r="H178" s="79">
        <f>H175*G178</f>
        <v>592.80000000000007</v>
      </c>
      <c r="I178" s="80">
        <v>87.41</v>
      </c>
      <c r="J178" s="81">
        <f>H178*I178</f>
        <v>51816.648000000001</v>
      </c>
      <c r="K178" s="82"/>
      <c r="L178" s="83"/>
      <c r="O178" s="102"/>
      <c r="P178" s="26">
        <f t="shared" si="3"/>
        <v>0</v>
      </c>
    </row>
    <row r="179" spans="4:16" s="101" customFormat="1" ht="21" customHeight="1" thickBot="1">
      <c r="D179" s="75"/>
      <c r="E179" s="76" t="s">
        <v>150</v>
      </c>
      <c r="F179" s="77" t="s">
        <v>88</v>
      </c>
      <c r="G179" s="78">
        <v>0.5</v>
      </c>
      <c r="H179" s="79">
        <f>H175*G179</f>
        <v>114</v>
      </c>
      <c r="I179" s="80">
        <v>1.87</v>
      </c>
      <c r="J179" s="81">
        <f>H179*I179</f>
        <v>213.18</v>
      </c>
      <c r="K179" s="82"/>
      <c r="L179" s="83"/>
      <c r="O179" s="102"/>
      <c r="P179" s="26">
        <f t="shared" si="3"/>
        <v>0</v>
      </c>
    </row>
    <row r="180" spans="4:16" ht="20" customHeight="1" thickBot="1">
      <c r="D180" s="59"/>
      <c r="E180" s="60" t="s">
        <v>154</v>
      </c>
      <c r="F180" s="61"/>
      <c r="G180" s="62"/>
      <c r="H180" s="62"/>
      <c r="I180" s="63"/>
      <c r="J180" s="64"/>
      <c r="K180" s="62"/>
      <c r="L180" s="62"/>
      <c r="O180" s="100"/>
      <c r="P180" s="26">
        <f t="shared" si="3"/>
        <v>0</v>
      </c>
    </row>
    <row r="181" spans="4:16" ht="20" customHeight="1">
      <c r="D181" s="66" t="s">
        <v>61</v>
      </c>
      <c r="E181" s="67" t="s">
        <v>155</v>
      </c>
      <c r="F181" s="68" t="s">
        <v>70</v>
      </c>
      <c r="G181" s="69"/>
      <c r="H181" s="70">
        <v>1</v>
      </c>
      <c r="I181" s="105"/>
      <c r="J181" s="106"/>
      <c r="K181" s="107">
        <v>3200</v>
      </c>
      <c r="L181" s="74">
        <f>H181*K181</f>
        <v>3200</v>
      </c>
      <c r="O181" s="100">
        <v>1600</v>
      </c>
      <c r="P181" s="26">
        <f t="shared" si="3"/>
        <v>1600</v>
      </c>
    </row>
    <row r="182" spans="4:16" ht="20" hidden="1" customHeight="1" outlineLevel="1">
      <c r="D182" s="75"/>
      <c r="E182" s="76" t="s">
        <v>156</v>
      </c>
      <c r="F182" s="77" t="s">
        <v>70</v>
      </c>
      <c r="G182" s="78">
        <v>1</v>
      </c>
      <c r="H182" s="79">
        <f>H181*G182</f>
        <v>1</v>
      </c>
      <c r="I182" s="80">
        <v>5008.7</v>
      </c>
      <c r="J182" s="81">
        <f>H182*I182</f>
        <v>5008.7</v>
      </c>
      <c r="K182" s="82"/>
      <c r="L182" s="83"/>
      <c r="O182" s="100"/>
      <c r="P182" s="26">
        <f t="shared" si="3"/>
        <v>0</v>
      </c>
    </row>
    <row r="183" spans="4:16" ht="20" customHeight="1" collapsed="1">
      <c r="D183" s="66" t="s">
        <v>71</v>
      </c>
      <c r="E183" s="67" t="s">
        <v>157</v>
      </c>
      <c r="F183" s="68" t="s">
        <v>70</v>
      </c>
      <c r="G183" s="69"/>
      <c r="H183" s="70">
        <v>1</v>
      </c>
      <c r="I183" s="105"/>
      <c r="J183" s="106"/>
      <c r="K183" s="107">
        <v>2700</v>
      </c>
      <c r="L183" s="74">
        <f>H183*K183</f>
        <v>2700</v>
      </c>
      <c r="O183" s="100">
        <v>1350</v>
      </c>
      <c r="P183" s="26">
        <f t="shared" si="3"/>
        <v>1350</v>
      </c>
    </row>
    <row r="184" spans="4:16" ht="20" hidden="1" customHeight="1" outlineLevel="1">
      <c r="D184" s="75"/>
      <c r="E184" s="76" t="s">
        <v>158</v>
      </c>
      <c r="F184" s="77" t="s">
        <v>70</v>
      </c>
      <c r="G184" s="78">
        <v>1</v>
      </c>
      <c r="H184" s="79">
        <f>H183*G184</f>
        <v>1</v>
      </c>
      <c r="I184" s="80">
        <v>4074.65</v>
      </c>
      <c r="J184" s="81">
        <f>H184*I184</f>
        <v>4074.65</v>
      </c>
      <c r="K184" s="82"/>
      <c r="L184" s="83"/>
      <c r="O184" s="100"/>
      <c r="P184" s="26">
        <f t="shared" si="3"/>
        <v>0</v>
      </c>
    </row>
    <row r="185" spans="4:16" ht="20" customHeight="1" collapsed="1">
      <c r="D185" s="66" t="s">
        <v>74</v>
      </c>
      <c r="E185" s="67" t="s">
        <v>159</v>
      </c>
      <c r="F185" s="68" t="s">
        <v>70</v>
      </c>
      <c r="G185" s="69"/>
      <c r="H185" s="70">
        <v>1</v>
      </c>
      <c r="I185" s="105"/>
      <c r="J185" s="106"/>
      <c r="K185" s="107">
        <v>4900</v>
      </c>
      <c r="L185" s="74">
        <f>H185*K185</f>
        <v>4900</v>
      </c>
      <c r="O185" s="100">
        <v>2450</v>
      </c>
      <c r="P185" s="26">
        <f t="shared" si="3"/>
        <v>2450</v>
      </c>
    </row>
    <row r="186" spans="4:16" ht="20" hidden="1" customHeight="1" outlineLevel="1">
      <c r="D186" s="75"/>
      <c r="E186" s="76" t="s">
        <v>160</v>
      </c>
      <c r="F186" s="77" t="s">
        <v>70</v>
      </c>
      <c r="G186" s="78">
        <v>1</v>
      </c>
      <c r="H186" s="79">
        <f>H185*G186</f>
        <v>1</v>
      </c>
      <c r="I186" s="80">
        <v>7585.55</v>
      </c>
      <c r="J186" s="81">
        <f>H186*I186</f>
        <v>7585.55</v>
      </c>
      <c r="K186" s="82"/>
      <c r="L186" s="83"/>
      <c r="O186" s="100"/>
      <c r="P186" s="26">
        <f t="shared" si="3"/>
        <v>0</v>
      </c>
    </row>
    <row r="187" spans="4:16" ht="20" customHeight="1" collapsed="1">
      <c r="D187" s="66" t="s">
        <v>122</v>
      </c>
      <c r="E187" s="67" t="s">
        <v>161</v>
      </c>
      <c r="F187" s="68" t="s">
        <v>70</v>
      </c>
      <c r="G187" s="69"/>
      <c r="H187" s="70">
        <v>1</v>
      </c>
      <c r="I187" s="105"/>
      <c r="J187" s="106"/>
      <c r="K187" s="107">
        <v>2200</v>
      </c>
      <c r="L187" s="74">
        <f>H187*K187</f>
        <v>2200</v>
      </c>
      <c r="O187" s="100">
        <v>1100</v>
      </c>
      <c r="P187" s="26">
        <f t="shared" si="3"/>
        <v>1100</v>
      </c>
    </row>
    <row r="188" spans="4:16" ht="20" hidden="1" customHeight="1" outlineLevel="1">
      <c r="D188" s="75"/>
      <c r="E188" s="76" t="s">
        <v>162</v>
      </c>
      <c r="F188" s="77" t="s">
        <v>70</v>
      </c>
      <c r="G188" s="78">
        <v>1</v>
      </c>
      <c r="H188" s="79">
        <f>H187*G188</f>
        <v>1</v>
      </c>
      <c r="I188" s="80">
        <v>3379.8</v>
      </c>
      <c r="J188" s="81">
        <f>H188*I188</f>
        <v>3379.8</v>
      </c>
      <c r="K188" s="82"/>
      <c r="L188" s="83"/>
      <c r="O188" s="100"/>
      <c r="P188" s="26">
        <f t="shared" si="3"/>
        <v>0</v>
      </c>
    </row>
    <row r="189" spans="4:16" ht="20" customHeight="1" collapsed="1">
      <c r="D189" s="66" t="s">
        <v>125</v>
      </c>
      <c r="E189" s="67" t="s">
        <v>163</v>
      </c>
      <c r="F189" s="68" t="s">
        <v>70</v>
      </c>
      <c r="G189" s="69"/>
      <c r="H189" s="70">
        <v>1</v>
      </c>
      <c r="I189" s="105"/>
      <c r="J189" s="106"/>
      <c r="K189" s="107">
        <v>2900</v>
      </c>
      <c r="L189" s="74">
        <f>H189*K189</f>
        <v>2900</v>
      </c>
      <c r="O189" s="100">
        <v>1450</v>
      </c>
      <c r="P189" s="26">
        <f t="shared" si="3"/>
        <v>1450</v>
      </c>
    </row>
    <row r="190" spans="4:16" ht="20" hidden="1" customHeight="1" outlineLevel="1">
      <c r="D190" s="75"/>
      <c r="E190" s="76" t="s">
        <v>164</v>
      </c>
      <c r="F190" s="77" t="s">
        <v>70</v>
      </c>
      <c r="G190" s="78">
        <v>1</v>
      </c>
      <c r="H190" s="79">
        <f>H189*G190</f>
        <v>1</v>
      </c>
      <c r="I190" s="80">
        <v>4353.05</v>
      </c>
      <c r="J190" s="81">
        <f>H190*I190</f>
        <v>4353.05</v>
      </c>
      <c r="K190" s="82"/>
      <c r="L190" s="83"/>
      <c r="O190" s="100"/>
      <c r="P190" s="26">
        <f t="shared" si="3"/>
        <v>0</v>
      </c>
    </row>
    <row r="191" spans="4:16" ht="20" customHeight="1" collapsed="1">
      <c r="D191" s="66" t="s">
        <v>131</v>
      </c>
      <c r="E191" s="67" t="s">
        <v>165</v>
      </c>
      <c r="F191" s="68" t="s">
        <v>70</v>
      </c>
      <c r="G191" s="69"/>
      <c r="H191" s="70">
        <v>1</v>
      </c>
      <c r="I191" s="105"/>
      <c r="J191" s="106"/>
      <c r="K191" s="107">
        <v>2200</v>
      </c>
      <c r="L191" s="74">
        <f>H191*K191</f>
        <v>2200</v>
      </c>
      <c r="O191" s="100">
        <v>1100</v>
      </c>
      <c r="P191" s="26">
        <f t="shared" si="3"/>
        <v>1100</v>
      </c>
    </row>
    <row r="192" spans="4:16" ht="20" hidden="1" customHeight="1" outlineLevel="1">
      <c r="D192" s="75"/>
      <c r="E192" s="76" t="s">
        <v>166</v>
      </c>
      <c r="F192" s="77" t="s">
        <v>70</v>
      </c>
      <c r="G192" s="78">
        <v>1</v>
      </c>
      <c r="H192" s="79">
        <f>H191*G192</f>
        <v>1</v>
      </c>
      <c r="I192" s="80">
        <v>3336.1</v>
      </c>
      <c r="J192" s="81">
        <f>H192*I192</f>
        <v>3336.1</v>
      </c>
      <c r="K192" s="82"/>
      <c r="L192" s="83"/>
      <c r="O192" s="100"/>
      <c r="P192" s="26">
        <f t="shared" si="3"/>
        <v>0</v>
      </c>
    </row>
    <row r="193" spans="4:16" ht="20" customHeight="1" collapsed="1">
      <c r="D193" s="66" t="s">
        <v>167</v>
      </c>
      <c r="E193" s="67" t="s">
        <v>168</v>
      </c>
      <c r="F193" s="68" t="s">
        <v>70</v>
      </c>
      <c r="G193" s="69"/>
      <c r="H193" s="70">
        <v>1</v>
      </c>
      <c r="I193" s="105"/>
      <c r="J193" s="106"/>
      <c r="K193" s="107">
        <v>2000</v>
      </c>
      <c r="L193" s="74">
        <f>H193*K193</f>
        <v>2000</v>
      </c>
      <c r="O193" s="100">
        <v>1000</v>
      </c>
      <c r="P193" s="26">
        <f t="shared" si="3"/>
        <v>1000</v>
      </c>
    </row>
    <row r="194" spans="4:16" ht="20" hidden="1" customHeight="1" outlineLevel="1">
      <c r="D194" s="75"/>
      <c r="E194" s="76" t="s">
        <v>169</v>
      </c>
      <c r="F194" s="77" t="s">
        <v>70</v>
      </c>
      <c r="G194" s="78">
        <v>1</v>
      </c>
      <c r="H194" s="79">
        <f>H193*G194</f>
        <v>1</v>
      </c>
      <c r="I194" s="80">
        <v>3051.95</v>
      </c>
      <c r="J194" s="81">
        <f>H194*I194</f>
        <v>3051.95</v>
      </c>
      <c r="K194" s="82"/>
      <c r="L194" s="83"/>
      <c r="O194" s="100"/>
      <c r="P194" s="26">
        <f t="shared" si="3"/>
        <v>0</v>
      </c>
    </row>
    <row r="195" spans="4:16" ht="20" customHeight="1" collapsed="1">
      <c r="D195" s="66" t="s">
        <v>170</v>
      </c>
      <c r="E195" s="67" t="s">
        <v>171</v>
      </c>
      <c r="F195" s="68" t="s">
        <v>70</v>
      </c>
      <c r="G195" s="69"/>
      <c r="H195" s="70">
        <v>1</v>
      </c>
      <c r="I195" s="105"/>
      <c r="J195" s="106"/>
      <c r="K195" s="107">
        <v>3100</v>
      </c>
      <c r="L195" s="74">
        <f>H195*K195</f>
        <v>3100</v>
      </c>
      <c r="O195" s="100">
        <v>1550</v>
      </c>
      <c r="P195" s="26">
        <f t="shared" si="3"/>
        <v>1550</v>
      </c>
    </row>
    <row r="196" spans="4:16" ht="20" hidden="1" customHeight="1" outlineLevel="1">
      <c r="D196" s="75"/>
      <c r="E196" s="76" t="s">
        <v>172</v>
      </c>
      <c r="F196" s="77" t="s">
        <v>70</v>
      </c>
      <c r="G196" s="78">
        <v>1</v>
      </c>
      <c r="H196" s="79">
        <f>H195*G196</f>
        <v>1</v>
      </c>
      <c r="I196" s="80">
        <v>4815.45</v>
      </c>
      <c r="J196" s="81">
        <f>H196*I196</f>
        <v>4815.45</v>
      </c>
      <c r="K196" s="82"/>
      <c r="L196" s="83"/>
      <c r="O196" s="100"/>
      <c r="P196" s="26">
        <f t="shared" si="3"/>
        <v>0</v>
      </c>
    </row>
    <row r="197" spans="4:16" ht="20" customHeight="1" collapsed="1">
      <c r="D197" s="66" t="s">
        <v>173</v>
      </c>
      <c r="E197" s="67" t="s">
        <v>174</v>
      </c>
      <c r="F197" s="68" t="s">
        <v>70</v>
      </c>
      <c r="G197" s="69"/>
      <c r="H197" s="70">
        <v>1</v>
      </c>
      <c r="I197" s="105"/>
      <c r="J197" s="106"/>
      <c r="K197" s="107">
        <v>2800</v>
      </c>
      <c r="L197" s="74">
        <f>H197*K197</f>
        <v>2800</v>
      </c>
      <c r="O197" s="100">
        <v>1400</v>
      </c>
      <c r="P197" s="26">
        <f t="shared" si="3"/>
        <v>1400</v>
      </c>
    </row>
    <row r="198" spans="4:16" ht="20" hidden="1" customHeight="1" outlineLevel="1">
      <c r="D198" s="75"/>
      <c r="E198" s="76" t="s">
        <v>175</v>
      </c>
      <c r="F198" s="77" t="s">
        <v>70</v>
      </c>
      <c r="G198" s="78">
        <v>1</v>
      </c>
      <c r="H198" s="79">
        <f>H197*G198</f>
        <v>1</v>
      </c>
      <c r="I198" s="80">
        <v>4397.8500000000004</v>
      </c>
      <c r="J198" s="81">
        <f>H198*I198</f>
        <v>4397.8500000000004</v>
      </c>
      <c r="K198" s="82"/>
      <c r="L198" s="83"/>
      <c r="O198" s="100"/>
      <c r="P198" s="26">
        <f t="shared" si="3"/>
        <v>0</v>
      </c>
    </row>
    <row r="199" spans="4:16" ht="20" customHeight="1" collapsed="1">
      <c r="D199" s="66" t="s">
        <v>176</v>
      </c>
      <c r="E199" s="67" t="s">
        <v>177</v>
      </c>
      <c r="F199" s="68" t="s">
        <v>70</v>
      </c>
      <c r="G199" s="69"/>
      <c r="H199" s="70">
        <v>1</v>
      </c>
      <c r="I199" s="105"/>
      <c r="J199" s="106"/>
      <c r="K199" s="107">
        <v>3200</v>
      </c>
      <c r="L199" s="74">
        <f>H199*K199</f>
        <v>3200</v>
      </c>
      <c r="O199" s="100">
        <v>1600</v>
      </c>
      <c r="P199" s="26">
        <f t="shared" si="3"/>
        <v>1600</v>
      </c>
    </row>
    <row r="200" spans="4:16" ht="20" hidden="1" customHeight="1" outlineLevel="1">
      <c r="D200" s="75"/>
      <c r="E200" s="76" t="s">
        <v>178</v>
      </c>
      <c r="F200" s="77" t="s">
        <v>70</v>
      </c>
      <c r="G200" s="78">
        <v>1</v>
      </c>
      <c r="H200" s="79">
        <f>H199*G200</f>
        <v>1</v>
      </c>
      <c r="I200" s="80">
        <v>5008.7</v>
      </c>
      <c r="J200" s="81">
        <f>H200*I200</f>
        <v>5008.7</v>
      </c>
      <c r="K200" s="82"/>
      <c r="L200" s="83"/>
      <c r="O200" s="100"/>
      <c r="P200" s="26">
        <f t="shared" si="3"/>
        <v>0</v>
      </c>
    </row>
    <row r="201" spans="4:16" ht="20" customHeight="1" collapsed="1">
      <c r="D201" s="66" t="s">
        <v>179</v>
      </c>
      <c r="E201" s="67" t="s">
        <v>180</v>
      </c>
      <c r="F201" s="68" t="s">
        <v>70</v>
      </c>
      <c r="G201" s="69"/>
      <c r="H201" s="70">
        <v>1</v>
      </c>
      <c r="I201" s="105"/>
      <c r="J201" s="106"/>
      <c r="K201" s="107">
        <v>3500</v>
      </c>
      <c r="L201" s="74">
        <f>H201*K201</f>
        <v>3500</v>
      </c>
      <c r="O201" s="100">
        <v>1750</v>
      </c>
      <c r="P201" s="26">
        <f t="shared" si="3"/>
        <v>1750</v>
      </c>
    </row>
    <row r="202" spans="4:16" ht="20" hidden="1" customHeight="1" outlineLevel="1">
      <c r="D202" s="75"/>
      <c r="E202" s="76" t="s">
        <v>181</v>
      </c>
      <c r="F202" s="77" t="s">
        <v>70</v>
      </c>
      <c r="G202" s="78">
        <v>1</v>
      </c>
      <c r="H202" s="79">
        <f>H201*G202</f>
        <v>1</v>
      </c>
      <c r="I202" s="80">
        <v>3348.1</v>
      </c>
      <c r="J202" s="81">
        <f>H202*I202</f>
        <v>3348.1</v>
      </c>
      <c r="K202" s="82"/>
      <c r="L202" s="83"/>
      <c r="O202" s="100"/>
      <c r="P202" s="26">
        <f t="shared" si="3"/>
        <v>0</v>
      </c>
    </row>
    <row r="203" spans="4:16" ht="20" customHeight="1" collapsed="1">
      <c r="D203" s="66" t="s">
        <v>182</v>
      </c>
      <c r="E203" s="67" t="s">
        <v>183</v>
      </c>
      <c r="F203" s="68" t="s">
        <v>70</v>
      </c>
      <c r="G203" s="69"/>
      <c r="H203" s="70">
        <v>1</v>
      </c>
      <c r="I203" s="105"/>
      <c r="J203" s="106"/>
      <c r="K203" s="107">
        <v>2300</v>
      </c>
      <c r="L203" s="74">
        <f>H203*K203</f>
        <v>2300</v>
      </c>
      <c r="O203" s="100">
        <v>1150</v>
      </c>
      <c r="P203" s="26">
        <f t="shared" si="3"/>
        <v>1150</v>
      </c>
    </row>
    <row r="204" spans="4:16" ht="20" hidden="1" customHeight="1" outlineLevel="1">
      <c r="D204" s="75"/>
      <c r="E204" s="76" t="s">
        <v>184</v>
      </c>
      <c r="F204" s="77" t="s">
        <v>70</v>
      </c>
      <c r="G204" s="78">
        <v>1</v>
      </c>
      <c r="H204" s="79">
        <f>H203*G204</f>
        <v>1</v>
      </c>
      <c r="I204" s="80">
        <v>3565</v>
      </c>
      <c r="J204" s="81">
        <f>H204*I204</f>
        <v>3565</v>
      </c>
      <c r="K204" s="82"/>
      <c r="L204" s="83"/>
      <c r="O204" s="100"/>
      <c r="P204" s="26">
        <f t="shared" si="3"/>
        <v>0</v>
      </c>
    </row>
    <row r="205" spans="4:16" ht="20" customHeight="1" collapsed="1">
      <c r="D205" s="66" t="s">
        <v>185</v>
      </c>
      <c r="E205" s="67" t="s">
        <v>186</v>
      </c>
      <c r="F205" s="68" t="s">
        <v>70</v>
      </c>
      <c r="G205" s="69"/>
      <c r="H205" s="70">
        <v>1</v>
      </c>
      <c r="I205" s="105"/>
      <c r="J205" s="106"/>
      <c r="K205" s="107">
        <v>2700</v>
      </c>
      <c r="L205" s="74">
        <f>H205*K205</f>
        <v>2700</v>
      </c>
      <c r="O205" s="100">
        <v>1350</v>
      </c>
      <c r="P205" s="26">
        <f t="shared" si="3"/>
        <v>1350</v>
      </c>
    </row>
    <row r="206" spans="4:16" ht="20" hidden="1" customHeight="1" outlineLevel="1">
      <c r="D206" s="75"/>
      <c r="E206" s="76" t="s">
        <v>187</v>
      </c>
      <c r="F206" s="77" t="s">
        <v>70</v>
      </c>
      <c r="G206" s="78">
        <v>1</v>
      </c>
      <c r="H206" s="79">
        <f>H205*G206</f>
        <v>1</v>
      </c>
      <c r="I206" s="80">
        <v>4134.45</v>
      </c>
      <c r="J206" s="81">
        <f>H206*I206</f>
        <v>4134.45</v>
      </c>
      <c r="K206" s="82"/>
      <c r="L206" s="83"/>
      <c r="O206" s="100"/>
      <c r="P206" s="26">
        <f t="shared" si="3"/>
        <v>0</v>
      </c>
    </row>
    <row r="207" spans="4:16" ht="20" customHeight="1" collapsed="1">
      <c r="D207" s="66" t="s">
        <v>188</v>
      </c>
      <c r="E207" s="67" t="s">
        <v>189</v>
      </c>
      <c r="F207" s="68" t="s">
        <v>70</v>
      </c>
      <c r="G207" s="69"/>
      <c r="H207" s="70">
        <v>1</v>
      </c>
      <c r="I207" s="105"/>
      <c r="J207" s="106"/>
      <c r="K207" s="107">
        <v>3700</v>
      </c>
      <c r="L207" s="74">
        <f>H207*K207</f>
        <v>3700</v>
      </c>
      <c r="O207" s="100">
        <v>1850</v>
      </c>
      <c r="P207" s="26">
        <f t="shared" si="3"/>
        <v>1850</v>
      </c>
    </row>
    <row r="208" spans="4:16" ht="20" hidden="1" customHeight="1" outlineLevel="1">
      <c r="D208" s="75"/>
      <c r="E208" s="76" t="s">
        <v>190</v>
      </c>
      <c r="F208" s="77" t="s">
        <v>70</v>
      </c>
      <c r="G208" s="78">
        <v>1</v>
      </c>
      <c r="H208" s="79">
        <f>H207*G208</f>
        <v>1</v>
      </c>
      <c r="I208" s="80">
        <v>5658.7</v>
      </c>
      <c r="J208" s="81">
        <f>H208*I208</f>
        <v>5658.7</v>
      </c>
      <c r="K208" s="82"/>
      <c r="L208" s="83"/>
      <c r="O208" s="100"/>
      <c r="P208" s="26">
        <f t="shared" si="3"/>
        <v>0</v>
      </c>
    </row>
    <row r="209" spans="4:16" ht="20" customHeight="1" collapsed="1" thickBot="1">
      <c r="D209" s="66" t="s">
        <v>191</v>
      </c>
      <c r="E209" s="67" t="s">
        <v>192</v>
      </c>
      <c r="F209" s="68" t="s">
        <v>70</v>
      </c>
      <c r="G209" s="69"/>
      <c r="H209" s="70">
        <v>1</v>
      </c>
      <c r="I209" s="105"/>
      <c r="J209" s="106"/>
      <c r="K209" s="107">
        <v>2300</v>
      </c>
      <c r="L209" s="74">
        <f>H209*K209</f>
        <v>2300</v>
      </c>
      <c r="O209" s="100">
        <v>1150</v>
      </c>
      <c r="P209" s="26">
        <f t="shared" si="3"/>
        <v>1150</v>
      </c>
    </row>
    <row r="210" spans="4:16" ht="20" hidden="1" customHeight="1" outlineLevel="1">
      <c r="D210" s="75"/>
      <c r="E210" s="76" t="s">
        <v>193</v>
      </c>
      <c r="F210" s="77" t="s">
        <v>70</v>
      </c>
      <c r="G210" s="78">
        <v>1</v>
      </c>
      <c r="H210" s="79">
        <f>H209*G210</f>
        <v>1</v>
      </c>
      <c r="I210" s="80">
        <v>3463.8</v>
      </c>
      <c r="J210" s="81">
        <f>H210*I210</f>
        <v>3463.8</v>
      </c>
      <c r="K210" s="82"/>
      <c r="L210" s="83"/>
      <c r="P210" s="26">
        <f t="shared" si="3"/>
        <v>0</v>
      </c>
    </row>
    <row r="211" spans="4:16" ht="20" customHeight="1" collapsed="1" thickBot="1">
      <c r="D211" s="59"/>
      <c r="E211" s="60" t="s">
        <v>194</v>
      </c>
      <c r="F211" s="61"/>
      <c r="G211" s="62"/>
      <c r="H211" s="62"/>
      <c r="I211" s="63"/>
      <c r="J211" s="64"/>
      <c r="K211" s="62"/>
      <c r="L211" s="65"/>
      <c r="O211" s="100"/>
      <c r="P211" s="26">
        <f t="shared" si="3"/>
        <v>0</v>
      </c>
    </row>
    <row r="212" spans="4:16" ht="24.75" customHeight="1">
      <c r="D212" s="66" t="s">
        <v>61</v>
      </c>
      <c r="E212" s="67" t="s">
        <v>195</v>
      </c>
      <c r="F212" s="68" t="s">
        <v>63</v>
      </c>
      <c r="G212" s="69"/>
      <c r="H212" s="91">
        <v>332.05</v>
      </c>
      <c r="I212" s="71"/>
      <c r="J212" s="72"/>
      <c r="K212" s="73">
        <v>350</v>
      </c>
      <c r="L212" s="74">
        <f>H212*K212</f>
        <v>116217.5</v>
      </c>
      <c r="O212" s="100">
        <v>200</v>
      </c>
      <c r="P212" s="26">
        <f t="shared" si="3"/>
        <v>66410</v>
      </c>
    </row>
    <row r="213" spans="4:16" ht="20" hidden="1" customHeight="1" outlineLevel="1">
      <c r="D213" s="75"/>
      <c r="E213" s="76" t="s">
        <v>196</v>
      </c>
      <c r="F213" s="77" t="s">
        <v>63</v>
      </c>
      <c r="G213" s="78">
        <v>1.05</v>
      </c>
      <c r="H213" s="79">
        <f>G213*H212</f>
        <v>348.65250000000003</v>
      </c>
      <c r="I213" s="80">
        <v>182.28</v>
      </c>
      <c r="J213" s="81">
        <f>H213*I213</f>
        <v>63552.377700000005</v>
      </c>
      <c r="K213" s="82"/>
      <c r="L213" s="83"/>
      <c r="O213" s="100"/>
      <c r="P213" s="26">
        <f t="shared" ref="P213:P276" si="4">O213*H213</f>
        <v>0</v>
      </c>
    </row>
    <row r="214" spans="4:16" ht="20" hidden="1" customHeight="1" outlineLevel="1">
      <c r="D214" s="75"/>
      <c r="E214" s="76" t="s">
        <v>65</v>
      </c>
      <c r="F214" s="77" t="s">
        <v>66</v>
      </c>
      <c r="G214" s="78">
        <v>0.15</v>
      </c>
      <c r="H214" s="79">
        <f>G214*H212</f>
        <v>49.807499999999997</v>
      </c>
      <c r="I214" s="80">
        <v>25</v>
      </c>
      <c r="J214" s="81">
        <f>H214*I214</f>
        <v>1245.1875</v>
      </c>
      <c r="K214" s="82"/>
      <c r="L214" s="83"/>
      <c r="O214" s="100"/>
      <c r="P214" s="26">
        <f t="shared" si="4"/>
        <v>0</v>
      </c>
    </row>
    <row r="215" spans="4:16" ht="30" hidden="1" customHeight="1" outlineLevel="1">
      <c r="D215" s="75"/>
      <c r="E215" s="76" t="s">
        <v>67</v>
      </c>
      <c r="F215" s="77" t="s">
        <v>68</v>
      </c>
      <c r="G215" s="78">
        <v>11</v>
      </c>
      <c r="H215" s="79">
        <f>ROUND(G215*H212,0)</f>
        <v>3653</v>
      </c>
      <c r="I215" s="80">
        <v>6.48</v>
      </c>
      <c r="J215" s="81">
        <f>H215*I215</f>
        <v>23671.440000000002</v>
      </c>
      <c r="K215" s="82"/>
      <c r="L215" s="83"/>
      <c r="O215" s="100"/>
      <c r="P215" s="26">
        <f t="shared" si="4"/>
        <v>0</v>
      </c>
    </row>
    <row r="216" spans="4:16" ht="20" hidden="1" customHeight="1" outlineLevel="1">
      <c r="D216" s="75"/>
      <c r="E216" s="76" t="s">
        <v>97</v>
      </c>
      <c r="F216" s="77" t="s">
        <v>70</v>
      </c>
      <c r="G216" s="78">
        <v>8</v>
      </c>
      <c r="H216" s="79">
        <f>ROUND(G216*H212,0)</f>
        <v>2656</v>
      </c>
      <c r="I216" s="80">
        <v>3.36</v>
      </c>
      <c r="J216" s="81">
        <f>H216*I216</f>
        <v>8924.16</v>
      </c>
      <c r="K216" s="82"/>
      <c r="L216" s="83"/>
      <c r="O216" s="100"/>
      <c r="P216" s="26">
        <f t="shared" si="4"/>
        <v>0</v>
      </c>
    </row>
    <row r="217" spans="4:16" ht="20" customHeight="1" collapsed="1">
      <c r="D217" s="66" t="s">
        <v>71</v>
      </c>
      <c r="E217" s="67" t="s">
        <v>98</v>
      </c>
      <c r="F217" s="68" t="s">
        <v>63</v>
      </c>
      <c r="G217" s="69"/>
      <c r="H217" s="70">
        <f>H212</f>
        <v>332.05</v>
      </c>
      <c r="I217" s="71"/>
      <c r="J217" s="72"/>
      <c r="K217" s="73">
        <v>300</v>
      </c>
      <c r="L217" s="74">
        <f>H217*K217</f>
        <v>99615</v>
      </c>
      <c r="O217" s="100">
        <v>200</v>
      </c>
      <c r="P217" s="26">
        <f t="shared" si="4"/>
        <v>66410</v>
      </c>
    </row>
    <row r="218" spans="4:16" ht="20" hidden="1" customHeight="1" outlineLevel="1">
      <c r="D218" s="75"/>
      <c r="E218" s="76" t="s">
        <v>145</v>
      </c>
      <c r="F218" s="77" t="s">
        <v>68</v>
      </c>
      <c r="G218" s="78">
        <v>6</v>
      </c>
      <c r="H218" s="79">
        <f>G218*H217</f>
        <v>1992.3000000000002</v>
      </c>
      <c r="I218" s="80">
        <v>7.87</v>
      </c>
      <c r="J218" s="81">
        <f>H218*I218</f>
        <v>15679.401000000002</v>
      </c>
      <c r="K218" s="82"/>
      <c r="L218" s="83"/>
      <c r="O218" s="100"/>
      <c r="P218" s="26">
        <f t="shared" si="4"/>
        <v>0</v>
      </c>
    </row>
    <row r="219" spans="4:16" ht="20" hidden="1" customHeight="1" outlineLevel="1">
      <c r="D219" s="75"/>
      <c r="E219" s="76" t="s">
        <v>146</v>
      </c>
      <c r="F219" s="77" t="s">
        <v>63</v>
      </c>
      <c r="G219" s="78">
        <v>1.1499999999999999</v>
      </c>
      <c r="H219" s="79">
        <f>G219*H217</f>
        <v>381.85749999999996</v>
      </c>
      <c r="I219" s="80">
        <v>32</v>
      </c>
      <c r="J219" s="81">
        <f>H219*I219</f>
        <v>12219.439999999999</v>
      </c>
      <c r="K219" s="82"/>
      <c r="L219" s="83"/>
      <c r="O219" s="100"/>
      <c r="P219" s="26">
        <f t="shared" si="4"/>
        <v>0</v>
      </c>
    </row>
    <row r="220" spans="4:16" ht="20" hidden="1" customHeight="1" outlineLevel="1">
      <c r="D220" s="75"/>
      <c r="E220" s="76" t="s">
        <v>89</v>
      </c>
      <c r="F220" s="77" t="s">
        <v>88</v>
      </c>
      <c r="G220" s="78">
        <v>1.1000000000000001</v>
      </c>
      <c r="H220" s="79">
        <f>ROUNDUP(G220*(H217*0.4/2),)</f>
        <v>74</v>
      </c>
      <c r="I220" s="80">
        <v>9.6</v>
      </c>
      <c r="J220" s="81">
        <f>H220*I220</f>
        <v>710.4</v>
      </c>
      <c r="K220" s="82"/>
      <c r="L220" s="83"/>
      <c r="O220" s="100"/>
      <c r="P220" s="26">
        <f t="shared" si="4"/>
        <v>0</v>
      </c>
    </row>
    <row r="221" spans="4:16" ht="24" customHeight="1" collapsed="1" thickBot="1">
      <c r="D221" s="92" t="s">
        <v>74</v>
      </c>
      <c r="E221" s="93" t="s">
        <v>147</v>
      </c>
      <c r="F221" s="94" t="s">
        <v>63</v>
      </c>
      <c r="G221" s="69"/>
      <c r="H221" s="70">
        <f>H212</f>
        <v>332.05</v>
      </c>
      <c r="I221" s="71"/>
      <c r="J221" s="95"/>
      <c r="K221" s="96">
        <v>300</v>
      </c>
      <c r="L221" s="104">
        <f>H221*K221</f>
        <v>99615</v>
      </c>
      <c r="O221" s="100">
        <v>200</v>
      </c>
      <c r="P221" s="26">
        <f t="shared" si="4"/>
        <v>66410</v>
      </c>
    </row>
    <row r="222" spans="4:16" ht="20" hidden="1" customHeight="1" outlineLevel="1">
      <c r="D222" s="75"/>
      <c r="E222" s="76" t="s">
        <v>148</v>
      </c>
      <c r="F222" s="77" t="s">
        <v>68</v>
      </c>
      <c r="G222" s="78">
        <v>0.35</v>
      </c>
      <c r="H222" s="79">
        <f>H221*G222</f>
        <v>116.2175</v>
      </c>
      <c r="I222" s="80">
        <v>40.72</v>
      </c>
      <c r="J222" s="81">
        <f>H222*I222</f>
        <v>4732.3765999999996</v>
      </c>
      <c r="K222" s="82"/>
      <c r="L222" s="83"/>
      <c r="O222" s="100"/>
      <c r="P222" s="26">
        <f t="shared" si="4"/>
        <v>0</v>
      </c>
    </row>
    <row r="223" spans="4:16" ht="20" hidden="1" customHeight="1" outlineLevel="1">
      <c r="D223" s="75"/>
      <c r="E223" s="76" t="s">
        <v>197</v>
      </c>
      <c r="F223" s="77" t="s">
        <v>68</v>
      </c>
      <c r="G223" s="78">
        <v>2.6</v>
      </c>
      <c r="H223" s="79">
        <f>H221*G223</f>
        <v>863.33</v>
      </c>
      <c r="I223" s="80">
        <f>87.41*1.5</f>
        <v>131.11500000000001</v>
      </c>
      <c r="J223" s="81">
        <f>H223*I223</f>
        <v>113195.51295000002</v>
      </c>
      <c r="K223" s="82"/>
      <c r="L223" s="83"/>
      <c r="O223" s="100"/>
      <c r="P223" s="26">
        <f t="shared" si="4"/>
        <v>0</v>
      </c>
    </row>
    <row r="224" spans="4:16" ht="20" hidden="1" customHeight="1" outlineLevel="1">
      <c r="D224" s="75"/>
      <c r="E224" s="76" t="s">
        <v>150</v>
      </c>
      <c r="F224" s="77" t="s">
        <v>88</v>
      </c>
      <c r="G224" s="78">
        <v>0.5</v>
      </c>
      <c r="H224" s="79">
        <f>H221*G224</f>
        <v>166.02500000000001</v>
      </c>
      <c r="I224" s="80">
        <v>1.87</v>
      </c>
      <c r="J224" s="81">
        <f>H224*I224</f>
        <v>310.46675000000005</v>
      </c>
      <c r="K224" s="82"/>
      <c r="L224" s="83"/>
      <c r="O224" s="100"/>
      <c r="P224" s="26">
        <f t="shared" si="4"/>
        <v>0</v>
      </c>
    </row>
    <row r="225" spans="4:16" ht="20" customHeight="1" collapsed="1" thickBot="1">
      <c r="D225" s="59"/>
      <c r="E225" s="60" t="s">
        <v>198</v>
      </c>
      <c r="F225" s="61"/>
      <c r="G225" s="62"/>
      <c r="H225" s="62"/>
      <c r="I225" s="63"/>
      <c r="J225" s="64"/>
      <c r="K225" s="62"/>
      <c r="L225" s="65"/>
      <c r="O225" s="100"/>
      <c r="P225" s="26">
        <f t="shared" si="4"/>
        <v>0</v>
      </c>
    </row>
    <row r="226" spans="4:16" ht="20" customHeight="1" thickBot="1">
      <c r="D226" s="66" t="s">
        <v>61</v>
      </c>
      <c r="E226" s="67" t="s">
        <v>199</v>
      </c>
      <c r="F226" s="68" t="s">
        <v>63</v>
      </c>
      <c r="G226" s="108"/>
      <c r="H226" s="70">
        <v>321.60000000000002</v>
      </c>
      <c r="I226" s="105"/>
      <c r="J226" s="106"/>
      <c r="K226" s="107">
        <f>2000/1.2</f>
        <v>1666.6666666666667</v>
      </c>
      <c r="L226" s="74">
        <f>H226*K226</f>
        <v>536000.00000000012</v>
      </c>
      <c r="O226" s="100">
        <v>750</v>
      </c>
      <c r="P226" s="26">
        <f t="shared" si="4"/>
        <v>241200.00000000003</v>
      </c>
    </row>
    <row r="227" spans="4:16" ht="20" hidden="1" customHeight="1" outlineLevel="1">
      <c r="D227" s="75"/>
      <c r="E227" s="76" t="s">
        <v>200</v>
      </c>
      <c r="F227" s="77" t="s">
        <v>63</v>
      </c>
      <c r="G227" s="78">
        <v>0.1</v>
      </c>
      <c r="H227" s="79">
        <f>G227*H226</f>
        <v>32.160000000000004</v>
      </c>
      <c r="I227" s="80">
        <f>1984/1.2</f>
        <v>1653.3333333333335</v>
      </c>
      <c r="J227" s="81">
        <f>H227*I227</f>
        <v>53171.200000000012</v>
      </c>
      <c r="K227" s="82"/>
      <c r="L227" s="83"/>
      <c r="O227" s="100"/>
      <c r="P227" s="26">
        <f t="shared" si="4"/>
        <v>0</v>
      </c>
    </row>
    <row r="228" spans="4:16" ht="20" hidden="1" customHeight="1" outlineLevel="1">
      <c r="D228" s="75"/>
      <c r="E228" s="76" t="s">
        <v>201</v>
      </c>
      <c r="F228" s="77" t="s">
        <v>63</v>
      </c>
      <c r="G228" s="78">
        <v>1</v>
      </c>
      <c r="H228" s="79">
        <f>G228*H226</f>
        <v>321.60000000000002</v>
      </c>
      <c r="I228" s="80">
        <f>7550/1.2</f>
        <v>6291.666666666667</v>
      </c>
      <c r="J228" s="81">
        <f>H228*I228</f>
        <v>2023400.0000000002</v>
      </c>
      <c r="K228" s="82"/>
      <c r="L228" s="83"/>
      <c r="O228" s="100"/>
      <c r="P228" s="26">
        <f t="shared" si="4"/>
        <v>0</v>
      </c>
    </row>
    <row r="229" spans="4:16" ht="20" customHeight="1" collapsed="1" thickBot="1">
      <c r="D229" s="59"/>
      <c r="E229" s="109" t="s">
        <v>202</v>
      </c>
      <c r="F229" s="110"/>
      <c r="G229" s="111"/>
      <c r="H229" s="111"/>
      <c r="I229" s="112"/>
      <c r="J229" s="113"/>
      <c r="K229" s="111"/>
      <c r="L229" s="114"/>
      <c r="O229" s="100"/>
      <c r="P229" s="26">
        <f t="shared" si="4"/>
        <v>0</v>
      </c>
    </row>
    <row r="230" spans="4:16" ht="20" customHeight="1" thickBot="1">
      <c r="D230" s="115" t="s">
        <v>61</v>
      </c>
      <c r="E230" s="116" t="s">
        <v>203</v>
      </c>
      <c r="F230" s="117" t="s">
        <v>204</v>
      </c>
      <c r="G230" s="118"/>
      <c r="H230" s="119">
        <f>12*18+46*0.5</f>
        <v>239</v>
      </c>
      <c r="I230" s="120">
        <v>1734</v>
      </c>
      <c r="J230" s="121"/>
      <c r="K230" s="96">
        <v>200</v>
      </c>
      <c r="L230" s="122">
        <f>H230*K230</f>
        <v>47800</v>
      </c>
      <c r="O230" s="100">
        <v>100</v>
      </c>
      <c r="P230" s="26">
        <f t="shared" si="4"/>
        <v>23900</v>
      </c>
    </row>
    <row r="231" spans="4:16" ht="20" hidden="1" customHeight="1" outlineLevel="1">
      <c r="D231" s="75"/>
      <c r="E231" s="76" t="s">
        <v>205</v>
      </c>
      <c r="F231" s="77" t="s">
        <v>204</v>
      </c>
      <c r="G231" s="78">
        <v>1.05</v>
      </c>
      <c r="H231" s="79">
        <f>216*G231</f>
        <v>226.8</v>
      </c>
      <c r="I231" s="80">
        <v>51.975000000000001</v>
      </c>
      <c r="J231" s="81">
        <f t="shared" ref="J231:J241" si="5">H231*I231</f>
        <v>11787.93</v>
      </c>
      <c r="K231" s="82"/>
      <c r="L231" s="83"/>
      <c r="O231" s="100"/>
      <c r="P231" s="26">
        <f t="shared" si="4"/>
        <v>0</v>
      </c>
    </row>
    <row r="232" spans="4:16" ht="20" hidden="1" customHeight="1" outlineLevel="1">
      <c r="D232" s="75"/>
      <c r="E232" s="76" t="s">
        <v>206</v>
      </c>
      <c r="F232" s="77" t="s">
        <v>204</v>
      </c>
      <c r="G232" s="78">
        <v>1.05</v>
      </c>
      <c r="H232" s="79">
        <f>(46*0.5)*G232</f>
        <v>24.150000000000002</v>
      </c>
      <c r="I232" s="80">
        <v>39.655000000000001</v>
      </c>
      <c r="J232" s="81">
        <f t="shared" si="5"/>
        <v>957.66825000000006</v>
      </c>
      <c r="K232" s="82"/>
      <c r="L232" s="83"/>
      <c r="O232" s="100"/>
      <c r="P232" s="26">
        <f t="shared" si="4"/>
        <v>0</v>
      </c>
    </row>
    <row r="233" spans="4:16" ht="20" hidden="1" customHeight="1" outlineLevel="1">
      <c r="D233" s="75"/>
      <c r="E233" s="76" t="s">
        <v>207</v>
      </c>
      <c r="F233" s="77" t="s">
        <v>70</v>
      </c>
      <c r="G233" s="78">
        <v>1</v>
      </c>
      <c r="H233" s="79">
        <v>12</v>
      </c>
      <c r="I233" s="80">
        <v>26.29</v>
      </c>
      <c r="J233" s="81">
        <f t="shared" si="5"/>
        <v>315.48</v>
      </c>
      <c r="K233" s="82"/>
      <c r="L233" s="83"/>
      <c r="O233" s="100"/>
      <c r="P233" s="26">
        <f t="shared" si="4"/>
        <v>0</v>
      </c>
    </row>
    <row r="234" spans="4:16" ht="20" hidden="1" customHeight="1" outlineLevel="1">
      <c r="D234" s="75"/>
      <c r="E234" s="76" t="s">
        <v>208</v>
      </c>
      <c r="F234" s="77" t="s">
        <v>70</v>
      </c>
      <c r="G234" s="78">
        <v>1</v>
      </c>
      <c r="H234" s="79">
        <v>12</v>
      </c>
      <c r="I234" s="80">
        <v>17.600000000000001</v>
      </c>
      <c r="J234" s="81">
        <f t="shared" si="5"/>
        <v>211.20000000000002</v>
      </c>
      <c r="K234" s="82"/>
      <c r="L234" s="83"/>
      <c r="O234" s="100"/>
      <c r="P234" s="26">
        <f t="shared" si="4"/>
        <v>0</v>
      </c>
    </row>
    <row r="235" spans="4:16" ht="20" hidden="1" customHeight="1" outlineLevel="1">
      <c r="D235" s="75"/>
      <c r="E235" s="76" t="s">
        <v>209</v>
      </c>
      <c r="F235" s="77" t="s">
        <v>70</v>
      </c>
      <c r="G235" s="78">
        <v>1</v>
      </c>
      <c r="H235" s="79">
        <v>46</v>
      </c>
      <c r="I235" s="80">
        <v>12.815000000000001</v>
      </c>
      <c r="J235" s="81">
        <f t="shared" si="5"/>
        <v>589.49</v>
      </c>
      <c r="K235" s="82"/>
      <c r="L235" s="83"/>
      <c r="O235" s="100"/>
      <c r="P235" s="26">
        <f t="shared" si="4"/>
        <v>0</v>
      </c>
    </row>
    <row r="236" spans="4:16" ht="20" hidden="1" customHeight="1" outlineLevel="1">
      <c r="D236" s="75"/>
      <c r="E236" s="76" t="s">
        <v>210</v>
      </c>
      <c r="F236" s="77" t="s">
        <v>70</v>
      </c>
      <c r="G236" s="78">
        <v>1</v>
      </c>
      <c r="H236" s="79">
        <v>46</v>
      </c>
      <c r="I236" s="80">
        <v>13.475000000000001</v>
      </c>
      <c r="J236" s="81">
        <f t="shared" si="5"/>
        <v>619.85</v>
      </c>
      <c r="K236" s="82"/>
      <c r="L236" s="83"/>
      <c r="O236" s="100"/>
      <c r="P236" s="26">
        <f t="shared" si="4"/>
        <v>0</v>
      </c>
    </row>
    <row r="237" spans="4:16" ht="20" hidden="1" customHeight="1" outlineLevel="1">
      <c r="D237" s="75"/>
      <c r="E237" s="76" t="s">
        <v>211</v>
      </c>
      <c r="F237" s="77" t="s">
        <v>70</v>
      </c>
      <c r="G237" s="78">
        <v>1</v>
      </c>
      <c r="H237" s="79">
        <v>46</v>
      </c>
      <c r="I237" s="80">
        <v>85.084999999999994</v>
      </c>
      <c r="J237" s="81">
        <f t="shared" si="5"/>
        <v>3913.91</v>
      </c>
      <c r="K237" s="82"/>
      <c r="L237" s="83"/>
      <c r="O237" s="100"/>
      <c r="P237" s="26">
        <f t="shared" si="4"/>
        <v>0</v>
      </c>
    </row>
    <row r="238" spans="4:16" ht="20" hidden="1" customHeight="1" outlineLevel="1">
      <c r="D238" s="75"/>
      <c r="E238" s="76" t="s">
        <v>212</v>
      </c>
      <c r="F238" s="77" t="s">
        <v>70</v>
      </c>
      <c r="G238" s="78">
        <v>1</v>
      </c>
      <c r="H238" s="79">
        <v>46</v>
      </c>
      <c r="I238" s="80">
        <v>7.370000000000001</v>
      </c>
      <c r="J238" s="81">
        <f t="shared" si="5"/>
        <v>339.02000000000004</v>
      </c>
      <c r="K238" s="82"/>
      <c r="L238" s="83"/>
      <c r="O238" s="100"/>
      <c r="P238" s="26">
        <f t="shared" si="4"/>
        <v>0</v>
      </c>
    </row>
    <row r="239" spans="4:16" ht="20" hidden="1" customHeight="1" outlineLevel="1">
      <c r="D239" s="75"/>
      <c r="E239" s="76" t="s">
        <v>213</v>
      </c>
      <c r="F239" s="77" t="s">
        <v>70</v>
      </c>
      <c r="G239" s="78">
        <v>1</v>
      </c>
      <c r="H239" s="79">
        <f>H231/3</f>
        <v>75.600000000000009</v>
      </c>
      <c r="I239" s="80">
        <v>15.730000000000002</v>
      </c>
      <c r="J239" s="81">
        <f t="shared" si="5"/>
        <v>1189.1880000000003</v>
      </c>
      <c r="K239" s="82"/>
      <c r="L239" s="83"/>
      <c r="O239" s="100"/>
      <c r="P239" s="26">
        <f t="shared" si="4"/>
        <v>0</v>
      </c>
    </row>
    <row r="240" spans="4:16" ht="20" hidden="1" customHeight="1" outlineLevel="1">
      <c r="D240" s="75"/>
      <c r="E240" s="76" t="s">
        <v>214</v>
      </c>
      <c r="F240" s="77" t="s">
        <v>70</v>
      </c>
      <c r="G240" s="78">
        <v>1</v>
      </c>
      <c r="H240" s="79">
        <f>H231/3</f>
        <v>75.600000000000009</v>
      </c>
      <c r="I240" s="80">
        <v>3.5200000000000005</v>
      </c>
      <c r="J240" s="81">
        <f t="shared" si="5"/>
        <v>266.11200000000008</v>
      </c>
      <c r="K240" s="82"/>
      <c r="L240" s="83"/>
      <c r="O240" s="100"/>
      <c r="P240" s="26">
        <f t="shared" si="4"/>
        <v>0</v>
      </c>
    </row>
    <row r="241" spans="4:16" ht="20" hidden="1" customHeight="1" outlineLevel="1">
      <c r="D241" s="75"/>
      <c r="E241" s="76" t="s">
        <v>215</v>
      </c>
      <c r="F241" s="77" t="s">
        <v>70</v>
      </c>
      <c r="G241" s="78">
        <v>1</v>
      </c>
      <c r="H241" s="79">
        <f>H231/3</f>
        <v>75.600000000000009</v>
      </c>
      <c r="I241" s="80">
        <v>0.44000000000000006</v>
      </c>
      <c r="J241" s="81">
        <f t="shared" si="5"/>
        <v>33.26400000000001</v>
      </c>
      <c r="K241" s="82"/>
      <c r="L241" s="83"/>
      <c r="O241" s="100"/>
      <c r="P241" s="26">
        <f t="shared" si="4"/>
        <v>0</v>
      </c>
    </row>
    <row r="242" spans="4:16" ht="20" customHeight="1" collapsed="1" thickBot="1">
      <c r="D242" s="59"/>
      <c r="E242" s="60" t="s">
        <v>216</v>
      </c>
      <c r="F242" s="61"/>
      <c r="G242" s="62"/>
      <c r="H242" s="62"/>
      <c r="I242" s="63"/>
      <c r="J242" s="64"/>
      <c r="K242" s="62"/>
      <c r="L242" s="65"/>
      <c r="O242" s="100"/>
      <c r="P242" s="26">
        <f t="shared" si="4"/>
        <v>0</v>
      </c>
    </row>
    <row r="243" spans="4:16" ht="25.5" customHeight="1">
      <c r="D243" s="66" t="s">
        <v>61</v>
      </c>
      <c r="E243" s="67" t="s">
        <v>217</v>
      </c>
      <c r="F243" s="68" t="s">
        <v>70</v>
      </c>
      <c r="G243" s="69">
        <v>1</v>
      </c>
      <c r="H243" s="91">
        <v>50</v>
      </c>
      <c r="I243" s="71"/>
      <c r="J243" s="72"/>
      <c r="K243" s="73">
        <v>375</v>
      </c>
      <c r="L243" s="74">
        <f>H243*K243</f>
        <v>18750</v>
      </c>
      <c r="O243" s="100">
        <v>150</v>
      </c>
      <c r="P243" s="26">
        <f t="shared" si="4"/>
        <v>7500</v>
      </c>
    </row>
    <row r="244" spans="4:16" ht="20" customHeight="1">
      <c r="D244" s="66" t="s">
        <v>71</v>
      </c>
      <c r="E244" s="67" t="s">
        <v>218</v>
      </c>
      <c r="F244" s="68" t="s">
        <v>70</v>
      </c>
      <c r="G244" s="69">
        <v>1</v>
      </c>
      <c r="H244" s="91">
        <v>50</v>
      </c>
      <c r="I244" s="71"/>
      <c r="J244" s="72"/>
      <c r="K244" s="73">
        <v>360</v>
      </c>
      <c r="L244" s="74">
        <f>H244*K244</f>
        <v>18000</v>
      </c>
      <c r="O244" s="100">
        <v>150</v>
      </c>
      <c r="P244" s="26">
        <f t="shared" si="4"/>
        <v>7500</v>
      </c>
    </row>
    <row r="245" spans="4:16" ht="20" hidden="1" customHeight="1" outlineLevel="1">
      <c r="D245" s="75"/>
      <c r="E245" s="76" t="s">
        <v>219</v>
      </c>
      <c r="F245" s="77" t="s">
        <v>220</v>
      </c>
      <c r="G245" s="78">
        <v>0.7</v>
      </c>
      <c r="H245" s="79">
        <f>H244*G245</f>
        <v>35</v>
      </c>
      <c r="I245" s="80">
        <v>106.98</v>
      </c>
      <c r="J245" s="81">
        <f>H245*I245</f>
        <v>3744.3</v>
      </c>
      <c r="K245" s="82"/>
      <c r="L245" s="83"/>
      <c r="O245" s="100"/>
      <c r="P245" s="26">
        <f t="shared" si="4"/>
        <v>0</v>
      </c>
    </row>
    <row r="246" spans="4:16" ht="20" hidden="1" customHeight="1" outlineLevel="1">
      <c r="D246" s="75"/>
      <c r="E246" s="76" t="s">
        <v>221</v>
      </c>
      <c r="F246" s="77" t="s">
        <v>70</v>
      </c>
      <c r="G246" s="78">
        <v>1</v>
      </c>
      <c r="H246" s="79">
        <f>ROUND(G246*H244,0)</f>
        <v>50</v>
      </c>
      <c r="I246" s="80">
        <v>24</v>
      </c>
      <c r="J246" s="81">
        <f>H246*I246</f>
        <v>1200</v>
      </c>
      <c r="K246" s="82"/>
      <c r="L246" s="83"/>
      <c r="O246" s="100"/>
      <c r="P246" s="26">
        <f t="shared" si="4"/>
        <v>0</v>
      </c>
    </row>
    <row r="247" spans="4:16" ht="20" hidden="1" customHeight="1" outlineLevel="1">
      <c r="D247" s="75"/>
      <c r="E247" s="76" t="s">
        <v>222</v>
      </c>
      <c r="F247" s="77" t="s">
        <v>70</v>
      </c>
      <c r="G247" s="78">
        <v>1.8100000000000002E-2</v>
      </c>
      <c r="H247" s="79">
        <f>ROUND(H244*G247,1.5)</f>
        <v>0.9</v>
      </c>
      <c r="I247" s="80">
        <v>161.66999999999999</v>
      </c>
      <c r="J247" s="81">
        <f>H247*I247</f>
        <v>145.50299999999999</v>
      </c>
      <c r="K247" s="82"/>
      <c r="L247" s="83"/>
      <c r="O247" s="100"/>
      <c r="P247" s="26">
        <f t="shared" si="4"/>
        <v>0</v>
      </c>
    </row>
    <row r="248" spans="4:16" ht="24.75" customHeight="1" collapsed="1" thickBot="1">
      <c r="D248" s="66" t="s">
        <v>74</v>
      </c>
      <c r="E248" s="67" t="s">
        <v>223</v>
      </c>
      <c r="F248" s="68" t="s">
        <v>70</v>
      </c>
      <c r="G248" s="69"/>
      <c r="H248" s="91">
        <v>50</v>
      </c>
      <c r="I248" s="71"/>
      <c r="J248" s="72"/>
      <c r="K248" s="73">
        <v>64</v>
      </c>
      <c r="L248" s="74">
        <f>H248*K248</f>
        <v>3200</v>
      </c>
      <c r="O248" s="100">
        <v>30</v>
      </c>
      <c r="P248" s="26">
        <f t="shared" si="4"/>
        <v>1500</v>
      </c>
    </row>
    <row r="249" spans="4:16" ht="20" hidden="1" customHeight="1" outlineLevel="1">
      <c r="D249" s="75"/>
      <c r="E249" s="76" t="s">
        <v>224</v>
      </c>
      <c r="F249" s="77" t="s">
        <v>70</v>
      </c>
      <c r="G249" s="78">
        <v>3.4267912772585667E-2</v>
      </c>
      <c r="H249" s="79">
        <f>H248*G249</f>
        <v>1.7133956386292832</v>
      </c>
      <c r="I249" s="80">
        <v>514</v>
      </c>
      <c r="J249" s="81">
        <f>H249*I249</f>
        <v>880.68535825545155</v>
      </c>
      <c r="K249" s="82"/>
      <c r="L249" s="83"/>
      <c r="O249" s="100"/>
      <c r="P249" s="26">
        <f t="shared" si="4"/>
        <v>0</v>
      </c>
    </row>
    <row r="250" spans="4:16" ht="20" customHeight="1" collapsed="1" thickBot="1">
      <c r="D250" s="59"/>
      <c r="E250" s="60" t="s">
        <v>225</v>
      </c>
      <c r="F250" s="61"/>
      <c r="G250" s="62"/>
      <c r="H250" s="62"/>
      <c r="I250" s="63"/>
      <c r="J250" s="64"/>
      <c r="K250" s="62"/>
      <c r="L250" s="65"/>
      <c r="O250" s="100"/>
      <c r="P250" s="26">
        <f t="shared" si="4"/>
        <v>0</v>
      </c>
    </row>
    <row r="251" spans="4:16" ht="20" customHeight="1">
      <c r="D251" s="66" t="s">
        <v>61</v>
      </c>
      <c r="E251" s="67" t="s">
        <v>226</v>
      </c>
      <c r="F251" s="68" t="s">
        <v>70</v>
      </c>
      <c r="G251" s="69"/>
      <c r="H251" s="91">
        <v>8</v>
      </c>
      <c r="I251" s="71"/>
      <c r="J251" s="72"/>
      <c r="K251" s="73">
        <v>1944</v>
      </c>
      <c r="L251" s="74">
        <f>H251*K251</f>
        <v>15552</v>
      </c>
      <c r="O251" s="100">
        <v>970</v>
      </c>
      <c r="P251" s="26">
        <f t="shared" si="4"/>
        <v>7760</v>
      </c>
    </row>
    <row r="252" spans="4:16" ht="20" hidden="1" customHeight="1" outlineLevel="1">
      <c r="D252" s="75"/>
      <c r="E252" s="76" t="s">
        <v>227</v>
      </c>
      <c r="F252" s="77" t="s">
        <v>70</v>
      </c>
      <c r="G252" s="78">
        <v>1</v>
      </c>
      <c r="H252" s="79">
        <f>H251*G252</f>
        <v>8</v>
      </c>
      <c r="I252" s="80">
        <v>1343.27</v>
      </c>
      <c r="J252" s="81">
        <f>H252*I252</f>
        <v>10746.16</v>
      </c>
      <c r="K252" s="82"/>
      <c r="L252" s="83"/>
      <c r="O252" s="100"/>
      <c r="P252" s="26">
        <f t="shared" si="4"/>
        <v>0</v>
      </c>
    </row>
    <row r="253" spans="4:16" ht="20" hidden="1" customHeight="1" outlineLevel="1">
      <c r="D253" s="75"/>
      <c r="E253" s="76" t="s">
        <v>228</v>
      </c>
      <c r="F253" s="77" t="s">
        <v>70</v>
      </c>
      <c r="G253" s="78">
        <v>2</v>
      </c>
      <c r="H253" s="79">
        <f>ROUND(G253*H251,0)</f>
        <v>16</v>
      </c>
      <c r="I253" s="80">
        <v>92.14</v>
      </c>
      <c r="J253" s="81">
        <f>H253*I253</f>
        <v>1474.24</v>
      </c>
      <c r="K253" s="82"/>
      <c r="L253" s="83"/>
      <c r="O253" s="100"/>
      <c r="P253" s="26">
        <f t="shared" si="4"/>
        <v>0</v>
      </c>
    </row>
    <row r="254" spans="4:16" ht="20" hidden="1" customHeight="1" outlineLevel="1">
      <c r="D254" s="75"/>
      <c r="E254" s="76" t="s">
        <v>229</v>
      </c>
      <c r="F254" s="77" t="s">
        <v>70</v>
      </c>
      <c r="G254" s="78">
        <v>0.25</v>
      </c>
      <c r="H254" s="79">
        <f>ROUND(G254*H252,0)</f>
        <v>2</v>
      </c>
      <c r="I254" s="80">
        <v>119.68</v>
      </c>
      <c r="J254" s="81">
        <f>H254*I254</f>
        <v>239.36</v>
      </c>
      <c r="K254" s="82"/>
      <c r="L254" s="83"/>
      <c r="O254" s="100"/>
      <c r="P254" s="26">
        <f t="shared" si="4"/>
        <v>0</v>
      </c>
    </row>
    <row r="255" spans="4:16" ht="20" customHeight="1" collapsed="1">
      <c r="D255" s="66" t="s">
        <v>71</v>
      </c>
      <c r="E255" s="67" t="s">
        <v>230</v>
      </c>
      <c r="F255" s="68" t="s">
        <v>70</v>
      </c>
      <c r="G255" s="69"/>
      <c r="H255" s="91">
        <v>8</v>
      </c>
      <c r="I255" s="71"/>
      <c r="J255" s="72"/>
      <c r="K255" s="73">
        <v>576</v>
      </c>
      <c r="L255" s="74">
        <f>H255*K255</f>
        <v>4608</v>
      </c>
      <c r="O255" s="100">
        <v>280</v>
      </c>
      <c r="P255" s="26">
        <f t="shared" si="4"/>
        <v>2240</v>
      </c>
    </row>
    <row r="256" spans="4:16" ht="20" hidden="1" customHeight="1" outlineLevel="1">
      <c r="D256" s="75"/>
      <c r="E256" s="76" t="s">
        <v>231</v>
      </c>
      <c r="F256" s="77" t="s">
        <v>70</v>
      </c>
      <c r="G256" s="78">
        <v>1</v>
      </c>
      <c r="H256" s="79">
        <f>H255*G256</f>
        <v>8</v>
      </c>
      <c r="I256" s="80">
        <v>68.650000000000006</v>
      </c>
      <c r="J256" s="81">
        <f>H256*I256</f>
        <v>549.20000000000005</v>
      </c>
      <c r="K256" s="82"/>
      <c r="L256" s="83"/>
      <c r="O256" s="100"/>
      <c r="P256" s="26">
        <f t="shared" si="4"/>
        <v>0</v>
      </c>
    </row>
    <row r="257" spans="4:16" ht="20" customHeight="1" collapsed="1">
      <c r="D257" s="66" t="s">
        <v>74</v>
      </c>
      <c r="E257" s="67" t="s">
        <v>232</v>
      </c>
      <c r="F257" s="68" t="s">
        <v>70</v>
      </c>
      <c r="G257" s="69"/>
      <c r="H257" s="91">
        <f>SUM(H258:H262)</f>
        <v>160</v>
      </c>
      <c r="I257" s="71"/>
      <c r="J257" s="72"/>
      <c r="K257" s="73">
        <v>54</v>
      </c>
      <c r="L257" s="74">
        <f>H257*K257</f>
        <v>8640</v>
      </c>
      <c r="O257" s="100">
        <v>25</v>
      </c>
      <c r="P257" s="26">
        <f t="shared" si="4"/>
        <v>4000</v>
      </c>
    </row>
    <row r="258" spans="4:16" ht="20" hidden="1" customHeight="1" outlineLevel="1">
      <c r="D258" s="75"/>
      <c r="E258" s="76" t="s">
        <v>233</v>
      </c>
      <c r="F258" s="77" t="s">
        <v>70</v>
      </c>
      <c r="G258" s="78">
        <v>1</v>
      </c>
      <c r="H258" s="79">
        <v>35</v>
      </c>
      <c r="I258" s="80">
        <v>62.41</v>
      </c>
      <c r="J258" s="81">
        <f>H258*I258</f>
        <v>2184.35</v>
      </c>
      <c r="K258" s="82"/>
      <c r="L258" s="83"/>
      <c r="O258" s="100"/>
      <c r="P258" s="26">
        <f t="shared" si="4"/>
        <v>0</v>
      </c>
    </row>
    <row r="259" spans="4:16" ht="20" hidden="1" customHeight="1" outlineLevel="1">
      <c r="D259" s="75"/>
      <c r="E259" s="76" t="s">
        <v>234</v>
      </c>
      <c r="F259" s="77" t="s">
        <v>70</v>
      </c>
      <c r="G259" s="78">
        <v>1</v>
      </c>
      <c r="H259" s="79">
        <v>60</v>
      </c>
      <c r="I259" s="80">
        <v>17.989999999999998</v>
      </c>
      <c r="J259" s="81">
        <f>H259*I259</f>
        <v>1079.3999999999999</v>
      </c>
      <c r="K259" s="82"/>
      <c r="L259" s="83"/>
      <c r="O259" s="100"/>
      <c r="P259" s="26">
        <f t="shared" si="4"/>
        <v>0</v>
      </c>
    </row>
    <row r="260" spans="4:16" ht="20" hidden="1" customHeight="1" outlineLevel="1">
      <c r="D260" s="75"/>
      <c r="E260" s="76" t="s">
        <v>235</v>
      </c>
      <c r="F260" s="77" t="s">
        <v>70</v>
      </c>
      <c r="G260" s="78">
        <v>1</v>
      </c>
      <c r="H260" s="79">
        <v>25</v>
      </c>
      <c r="I260" s="80">
        <v>73.42</v>
      </c>
      <c r="J260" s="81">
        <f>H260*I260</f>
        <v>1835.5</v>
      </c>
      <c r="K260" s="82"/>
      <c r="L260" s="83"/>
      <c r="O260" s="100"/>
      <c r="P260" s="26">
        <f t="shared" si="4"/>
        <v>0</v>
      </c>
    </row>
    <row r="261" spans="4:16" ht="20" hidden="1" customHeight="1" outlineLevel="1">
      <c r="D261" s="75"/>
      <c r="E261" s="76" t="s">
        <v>236</v>
      </c>
      <c r="F261" s="77" t="s">
        <v>70</v>
      </c>
      <c r="G261" s="78">
        <v>1</v>
      </c>
      <c r="H261" s="79">
        <v>20</v>
      </c>
      <c r="I261" s="80">
        <v>165.57</v>
      </c>
      <c r="J261" s="81">
        <f>H261*I261</f>
        <v>3311.3999999999996</v>
      </c>
      <c r="K261" s="82"/>
      <c r="L261" s="83"/>
      <c r="O261" s="100"/>
      <c r="P261" s="26">
        <f t="shared" si="4"/>
        <v>0</v>
      </c>
    </row>
    <row r="262" spans="4:16" ht="20" hidden="1" customHeight="1" outlineLevel="1">
      <c r="D262" s="75"/>
      <c r="E262" s="76" t="s">
        <v>237</v>
      </c>
      <c r="F262" s="77" t="s">
        <v>70</v>
      </c>
      <c r="G262" s="78">
        <v>1</v>
      </c>
      <c r="H262" s="79">
        <v>20</v>
      </c>
      <c r="I262" s="80">
        <v>50.29</v>
      </c>
      <c r="J262" s="81">
        <f>H262*I262</f>
        <v>1005.8</v>
      </c>
      <c r="K262" s="82"/>
      <c r="L262" s="83"/>
      <c r="O262" s="100"/>
      <c r="P262" s="26">
        <f t="shared" si="4"/>
        <v>0</v>
      </c>
    </row>
    <row r="263" spans="4:16" ht="20" customHeight="1" collapsed="1">
      <c r="D263" s="66" t="s">
        <v>122</v>
      </c>
      <c r="E263" s="67" t="s">
        <v>238</v>
      </c>
      <c r="F263" s="68" t="s">
        <v>88</v>
      </c>
      <c r="G263" s="69"/>
      <c r="H263" s="91">
        <v>200</v>
      </c>
      <c r="I263" s="71"/>
      <c r="J263" s="72"/>
      <c r="K263" s="73">
        <v>43</v>
      </c>
      <c r="L263" s="74">
        <f>H263*K263</f>
        <v>8600</v>
      </c>
      <c r="O263" s="100">
        <v>20</v>
      </c>
      <c r="P263" s="26">
        <f t="shared" si="4"/>
        <v>4000</v>
      </c>
    </row>
    <row r="264" spans="4:16" ht="20" hidden="1" customHeight="1" outlineLevel="1">
      <c r="D264" s="75"/>
      <c r="E264" s="76" t="s">
        <v>239</v>
      </c>
      <c r="F264" s="77" t="s">
        <v>220</v>
      </c>
      <c r="G264" s="78">
        <v>1.02</v>
      </c>
      <c r="H264" s="79">
        <f>H263*G264</f>
        <v>204</v>
      </c>
      <c r="I264" s="80">
        <v>51.4</v>
      </c>
      <c r="J264" s="81">
        <f>H264*I264</f>
        <v>10485.6</v>
      </c>
      <c r="K264" s="82"/>
      <c r="L264" s="83"/>
      <c r="O264" s="100"/>
      <c r="P264" s="26">
        <f t="shared" si="4"/>
        <v>0</v>
      </c>
    </row>
    <row r="265" spans="4:16" ht="20" customHeight="1" collapsed="1">
      <c r="D265" s="66" t="s">
        <v>125</v>
      </c>
      <c r="E265" s="67" t="s">
        <v>240</v>
      </c>
      <c r="F265" s="68" t="s">
        <v>88</v>
      </c>
      <c r="G265" s="69"/>
      <c r="H265" s="91">
        <v>150</v>
      </c>
      <c r="I265" s="71"/>
      <c r="J265" s="72"/>
      <c r="K265" s="73">
        <v>115</v>
      </c>
      <c r="L265" s="74">
        <f>H265*K265</f>
        <v>17250</v>
      </c>
      <c r="O265" s="100">
        <v>55</v>
      </c>
      <c r="P265" s="26">
        <f t="shared" si="4"/>
        <v>8250</v>
      </c>
    </row>
    <row r="266" spans="4:16" ht="20" hidden="1" customHeight="1" outlineLevel="1">
      <c r="D266" s="75"/>
      <c r="E266" s="76" t="s">
        <v>241</v>
      </c>
      <c r="F266" s="77" t="s">
        <v>220</v>
      </c>
      <c r="G266" s="78">
        <v>1.02</v>
      </c>
      <c r="H266" s="79">
        <f>H265*G266</f>
        <v>153</v>
      </c>
      <c r="I266" s="80">
        <v>117.11</v>
      </c>
      <c r="J266" s="81">
        <f>H266*I266</f>
        <v>17917.829999999998</v>
      </c>
      <c r="K266" s="82"/>
      <c r="L266" s="83"/>
      <c r="O266" s="100"/>
      <c r="P266" s="26">
        <f t="shared" si="4"/>
        <v>0</v>
      </c>
    </row>
    <row r="267" spans="4:16" ht="20" customHeight="1" collapsed="1">
      <c r="D267" s="66" t="s">
        <v>131</v>
      </c>
      <c r="E267" s="67" t="s">
        <v>242</v>
      </c>
      <c r="F267" s="68" t="s">
        <v>70</v>
      </c>
      <c r="G267" s="69"/>
      <c r="H267" s="91">
        <v>8</v>
      </c>
      <c r="I267" s="71"/>
      <c r="J267" s="72"/>
      <c r="K267" s="73">
        <v>43</v>
      </c>
      <c r="L267" s="74">
        <f>H267*K267</f>
        <v>344</v>
      </c>
      <c r="O267" s="100">
        <v>20</v>
      </c>
      <c r="P267" s="26">
        <f t="shared" si="4"/>
        <v>160</v>
      </c>
    </row>
    <row r="268" spans="4:16" ht="20" hidden="1" customHeight="1" outlineLevel="1">
      <c r="D268" s="75"/>
      <c r="E268" s="76" t="s">
        <v>243</v>
      </c>
      <c r="F268" s="77" t="s">
        <v>70</v>
      </c>
      <c r="G268" s="78">
        <v>1</v>
      </c>
      <c r="H268" s="79">
        <f>H267*G268</f>
        <v>8</v>
      </c>
      <c r="I268" s="80">
        <v>366.02</v>
      </c>
      <c r="J268" s="81">
        <f>H268*I268</f>
        <v>2928.16</v>
      </c>
      <c r="K268" s="82"/>
      <c r="L268" s="83"/>
      <c r="O268" s="100"/>
      <c r="P268" s="26">
        <f t="shared" si="4"/>
        <v>0</v>
      </c>
    </row>
    <row r="269" spans="4:16" ht="20" customHeight="1" collapsed="1">
      <c r="D269" s="66" t="s">
        <v>167</v>
      </c>
      <c r="E269" s="67" t="s">
        <v>244</v>
      </c>
      <c r="F269" s="68" t="s">
        <v>70</v>
      </c>
      <c r="G269" s="69"/>
      <c r="H269" s="91">
        <v>14</v>
      </c>
      <c r="I269" s="71"/>
      <c r="J269" s="72"/>
      <c r="K269" s="73">
        <v>692</v>
      </c>
      <c r="L269" s="74">
        <f>H269*K269</f>
        <v>9688</v>
      </c>
      <c r="O269" s="100">
        <v>345</v>
      </c>
      <c r="P269" s="26">
        <f t="shared" si="4"/>
        <v>4830</v>
      </c>
    </row>
    <row r="270" spans="4:16" ht="20" hidden="1" customHeight="1" outlineLevel="1">
      <c r="D270" s="75"/>
      <c r="E270" s="76" t="s">
        <v>245</v>
      </c>
      <c r="F270" s="77" t="s">
        <v>70</v>
      </c>
      <c r="G270" s="78">
        <v>1</v>
      </c>
      <c r="H270" s="79">
        <v>7</v>
      </c>
      <c r="I270" s="80">
        <v>139.54</v>
      </c>
      <c r="J270" s="81">
        <f t="shared" ref="J270:J275" si="6">H270*I270</f>
        <v>976.78</v>
      </c>
      <c r="K270" s="82"/>
      <c r="L270" s="83"/>
      <c r="O270" s="100"/>
      <c r="P270" s="26">
        <f t="shared" si="4"/>
        <v>0</v>
      </c>
    </row>
    <row r="271" spans="4:16" ht="20" hidden="1" customHeight="1" outlineLevel="1">
      <c r="D271" s="75"/>
      <c r="E271" s="76" t="s">
        <v>246</v>
      </c>
      <c r="F271" s="77" t="s">
        <v>70</v>
      </c>
      <c r="G271" s="78">
        <v>1</v>
      </c>
      <c r="H271" s="79">
        <v>7</v>
      </c>
      <c r="I271" s="80">
        <v>64.25</v>
      </c>
      <c r="J271" s="81">
        <f t="shared" si="6"/>
        <v>449.75</v>
      </c>
      <c r="K271" s="82"/>
      <c r="L271" s="83"/>
      <c r="O271" s="100"/>
      <c r="P271" s="26">
        <f t="shared" si="4"/>
        <v>0</v>
      </c>
    </row>
    <row r="272" spans="4:16" ht="20" hidden="1" customHeight="1" outlineLevel="1">
      <c r="D272" s="75"/>
      <c r="E272" s="76" t="s">
        <v>247</v>
      </c>
      <c r="F272" s="77" t="s">
        <v>70</v>
      </c>
      <c r="G272" s="78">
        <v>1</v>
      </c>
      <c r="H272" s="79">
        <f>H269*G272</f>
        <v>14</v>
      </c>
      <c r="I272" s="80">
        <v>569.39</v>
      </c>
      <c r="J272" s="81">
        <f t="shared" si="6"/>
        <v>7971.46</v>
      </c>
      <c r="K272" s="82"/>
      <c r="L272" s="83"/>
      <c r="O272" s="100"/>
      <c r="P272" s="26">
        <f t="shared" si="4"/>
        <v>0</v>
      </c>
    </row>
    <row r="273" spans="4:16" ht="20" hidden="1" customHeight="1" outlineLevel="1">
      <c r="D273" s="75"/>
      <c r="E273" s="76" t="s">
        <v>248</v>
      </c>
      <c r="F273" s="77" t="s">
        <v>70</v>
      </c>
      <c r="G273" s="78">
        <v>1</v>
      </c>
      <c r="H273" s="79">
        <v>7</v>
      </c>
      <c r="I273" s="80">
        <v>52.87</v>
      </c>
      <c r="J273" s="81">
        <f t="shared" si="6"/>
        <v>370.09</v>
      </c>
      <c r="K273" s="82"/>
      <c r="L273" s="83"/>
      <c r="O273" s="100"/>
      <c r="P273" s="26">
        <f t="shared" si="4"/>
        <v>0</v>
      </c>
    </row>
    <row r="274" spans="4:16" ht="20" hidden="1" customHeight="1" outlineLevel="1">
      <c r="D274" s="75"/>
      <c r="E274" s="76" t="s">
        <v>249</v>
      </c>
      <c r="F274" s="77" t="s">
        <v>70</v>
      </c>
      <c r="G274" s="78">
        <v>1</v>
      </c>
      <c r="H274" s="79">
        <v>7</v>
      </c>
      <c r="I274" s="80">
        <v>163.72999999999999</v>
      </c>
      <c r="J274" s="81">
        <f t="shared" si="6"/>
        <v>1146.1099999999999</v>
      </c>
      <c r="K274" s="82"/>
      <c r="L274" s="83"/>
      <c r="O274" s="100"/>
      <c r="P274" s="26">
        <f t="shared" si="4"/>
        <v>0</v>
      </c>
    </row>
    <row r="275" spans="4:16" ht="20" hidden="1" customHeight="1" outlineLevel="1">
      <c r="D275" s="75"/>
      <c r="E275" s="76" t="s">
        <v>250</v>
      </c>
      <c r="F275" s="77" t="s">
        <v>70</v>
      </c>
      <c r="G275" s="78">
        <v>1</v>
      </c>
      <c r="H275" s="79">
        <v>7</v>
      </c>
      <c r="I275" s="80">
        <v>276</v>
      </c>
      <c r="J275" s="81">
        <f t="shared" si="6"/>
        <v>1932</v>
      </c>
      <c r="K275" s="82"/>
      <c r="L275" s="83"/>
      <c r="O275" s="100"/>
      <c r="P275" s="26">
        <f t="shared" si="4"/>
        <v>0</v>
      </c>
    </row>
    <row r="276" spans="4:16" ht="32.25" customHeight="1" collapsed="1">
      <c r="D276" s="66" t="s">
        <v>170</v>
      </c>
      <c r="E276" s="67" t="s">
        <v>251</v>
      </c>
      <c r="F276" s="68" t="s">
        <v>70</v>
      </c>
      <c r="G276" s="69"/>
      <c r="H276" s="91">
        <v>1</v>
      </c>
      <c r="I276" s="71"/>
      <c r="J276" s="72"/>
      <c r="K276" s="73">
        <v>432</v>
      </c>
      <c r="L276" s="74">
        <f>H276*K276</f>
        <v>432</v>
      </c>
      <c r="O276" s="100">
        <v>215</v>
      </c>
      <c r="P276" s="26">
        <f t="shared" si="4"/>
        <v>215</v>
      </c>
    </row>
    <row r="277" spans="4:16" ht="35.25" customHeight="1">
      <c r="D277" s="66" t="s">
        <v>173</v>
      </c>
      <c r="E277" s="67" t="s">
        <v>252</v>
      </c>
      <c r="F277" s="68" t="s">
        <v>70</v>
      </c>
      <c r="G277" s="69"/>
      <c r="H277" s="91">
        <v>16</v>
      </c>
      <c r="I277" s="71"/>
      <c r="J277" s="72"/>
      <c r="K277" s="73">
        <v>303</v>
      </c>
      <c r="L277" s="74">
        <f>H277*K277</f>
        <v>4848</v>
      </c>
      <c r="O277" s="100">
        <v>150</v>
      </c>
      <c r="P277" s="26">
        <f t="shared" ref="P277:P340" si="7">O277*H277</f>
        <v>2400</v>
      </c>
    </row>
    <row r="278" spans="4:16" ht="20" customHeight="1" thickBot="1">
      <c r="D278" s="66" t="s">
        <v>176</v>
      </c>
      <c r="E278" s="67" t="s">
        <v>253</v>
      </c>
      <c r="F278" s="68" t="s">
        <v>70</v>
      </c>
      <c r="G278" s="69"/>
      <c r="H278" s="91">
        <v>8</v>
      </c>
      <c r="I278" s="71"/>
      <c r="J278" s="72"/>
      <c r="K278" s="73">
        <v>576</v>
      </c>
      <c r="L278" s="74">
        <f>H278*K278</f>
        <v>4608</v>
      </c>
      <c r="O278" s="100">
        <v>280</v>
      </c>
      <c r="P278" s="26">
        <f t="shared" si="7"/>
        <v>2240</v>
      </c>
    </row>
    <row r="279" spans="4:16" ht="20" customHeight="1" thickBot="1">
      <c r="D279" s="59"/>
      <c r="E279" s="60" t="s">
        <v>254</v>
      </c>
      <c r="F279" s="61"/>
      <c r="G279" s="62"/>
      <c r="H279" s="62"/>
      <c r="I279" s="63"/>
      <c r="J279" s="64"/>
      <c r="K279" s="62"/>
      <c r="L279" s="65"/>
      <c r="O279" s="100"/>
      <c r="P279" s="26">
        <f t="shared" si="7"/>
        <v>0</v>
      </c>
    </row>
    <row r="280" spans="4:16" s="101" customFormat="1" ht="21.5" customHeight="1">
      <c r="D280" s="66" t="s">
        <v>61</v>
      </c>
      <c r="E280" s="67" t="s">
        <v>255</v>
      </c>
      <c r="F280" s="68" t="s">
        <v>63</v>
      </c>
      <c r="G280" s="69"/>
      <c r="H280" s="91">
        <v>58.15</v>
      </c>
      <c r="I280" s="71"/>
      <c r="J280" s="72"/>
      <c r="K280" s="73">
        <v>250</v>
      </c>
      <c r="L280" s="74">
        <f>H280*K280</f>
        <v>14537.5</v>
      </c>
      <c r="N280" s="103"/>
      <c r="O280" s="102">
        <v>150</v>
      </c>
      <c r="P280" s="26">
        <f t="shared" si="7"/>
        <v>8722.5</v>
      </c>
    </row>
    <row r="281" spans="4:16" s="101" customFormat="1" ht="21" customHeight="1">
      <c r="D281" s="75"/>
      <c r="E281" s="76" t="s">
        <v>96</v>
      </c>
      <c r="F281" s="77" t="s">
        <v>63</v>
      </c>
      <c r="G281" s="78">
        <v>1.05</v>
      </c>
      <c r="H281" s="79">
        <f>G281*H280</f>
        <v>61.057500000000005</v>
      </c>
      <c r="I281" s="80">
        <v>231.64</v>
      </c>
      <c r="J281" s="81">
        <f>H281*I281</f>
        <v>14143.3593</v>
      </c>
      <c r="K281" s="82"/>
      <c r="L281" s="83"/>
      <c r="O281" s="102"/>
      <c r="P281" s="26">
        <f t="shared" si="7"/>
        <v>0</v>
      </c>
    </row>
    <row r="282" spans="4:16" s="101" customFormat="1" ht="21" customHeight="1">
      <c r="D282" s="75"/>
      <c r="E282" s="76" t="s">
        <v>118</v>
      </c>
      <c r="F282" s="77" t="s">
        <v>70</v>
      </c>
      <c r="G282" s="78">
        <v>0.2</v>
      </c>
      <c r="H282" s="79">
        <f>ROUND(H280*G282,1.5)</f>
        <v>11.6</v>
      </c>
      <c r="I282" s="80">
        <v>191.67</v>
      </c>
      <c r="J282" s="81">
        <f>H282*I282</f>
        <v>2223.3719999999998</v>
      </c>
      <c r="K282" s="82"/>
      <c r="L282" s="83"/>
      <c r="O282" s="102"/>
      <c r="P282" s="26">
        <f t="shared" si="7"/>
        <v>0</v>
      </c>
    </row>
    <row r="283" spans="4:16" s="123" customFormat="1" ht="21.5" customHeight="1">
      <c r="D283" s="66" t="s">
        <v>71</v>
      </c>
      <c r="E283" s="67" t="s">
        <v>256</v>
      </c>
      <c r="F283" s="68" t="s">
        <v>88</v>
      </c>
      <c r="G283" s="69"/>
      <c r="H283" s="91">
        <v>44</v>
      </c>
      <c r="I283" s="71"/>
      <c r="J283" s="72"/>
      <c r="K283" s="73">
        <v>400</v>
      </c>
      <c r="L283" s="74">
        <f>H283*K283</f>
        <v>17600</v>
      </c>
      <c r="N283" s="103"/>
      <c r="O283" s="102">
        <v>300</v>
      </c>
      <c r="P283" s="26">
        <f t="shared" si="7"/>
        <v>13200</v>
      </c>
    </row>
    <row r="284" spans="4:16" s="123" customFormat="1" ht="21.5" customHeight="1">
      <c r="D284" s="66"/>
      <c r="E284" s="67"/>
      <c r="F284" s="68" t="s">
        <v>63</v>
      </c>
      <c r="G284" s="69">
        <v>1.1100000000000001</v>
      </c>
      <c r="H284" s="91">
        <f>H283*G284</f>
        <v>48.84</v>
      </c>
      <c r="I284" s="71"/>
      <c r="J284" s="72"/>
      <c r="K284" s="73"/>
      <c r="L284" s="74"/>
      <c r="N284" s="103"/>
      <c r="O284" s="102"/>
      <c r="P284" s="26">
        <f t="shared" si="7"/>
        <v>0</v>
      </c>
    </row>
    <row r="285" spans="4:16" s="101" customFormat="1" ht="21" customHeight="1">
      <c r="D285" s="75"/>
      <c r="E285" s="76" t="s">
        <v>257</v>
      </c>
      <c r="F285" s="77" t="s">
        <v>63</v>
      </c>
      <c r="G285" s="78">
        <v>1.1499999999999999</v>
      </c>
      <c r="H285" s="79">
        <f>H284*G285</f>
        <v>56.165999999999997</v>
      </c>
      <c r="I285" s="80">
        <v>566.4</v>
      </c>
      <c r="J285" s="81">
        <f>H285*I285</f>
        <v>31812.422399999996</v>
      </c>
      <c r="K285" s="82"/>
      <c r="L285" s="83"/>
      <c r="O285" s="102"/>
      <c r="P285" s="26">
        <f t="shared" si="7"/>
        <v>0</v>
      </c>
    </row>
    <row r="286" spans="4:16" s="101" customFormat="1" ht="21" customHeight="1">
      <c r="D286" s="75"/>
      <c r="E286" s="76" t="s">
        <v>258</v>
      </c>
      <c r="F286" s="77" t="s">
        <v>70</v>
      </c>
      <c r="G286" s="78">
        <v>5</v>
      </c>
      <c r="H286" s="79">
        <f>ROUND(G286*H283,0)</f>
        <v>220</v>
      </c>
      <c r="I286" s="80">
        <v>3.36</v>
      </c>
      <c r="J286" s="81">
        <f>H286*I286</f>
        <v>739.19999999999993</v>
      </c>
      <c r="K286" s="82"/>
      <c r="L286" s="83"/>
      <c r="O286" s="102"/>
      <c r="P286" s="26">
        <f t="shared" si="7"/>
        <v>0</v>
      </c>
    </row>
    <row r="287" spans="4:16" s="101" customFormat="1" ht="21" customHeight="1">
      <c r="D287" s="75"/>
      <c r="E287" s="76" t="s">
        <v>259</v>
      </c>
      <c r="F287" s="77" t="s">
        <v>70</v>
      </c>
      <c r="G287" s="78">
        <v>2.5</v>
      </c>
      <c r="H287" s="79">
        <f>(H283)*G287</f>
        <v>110</v>
      </c>
      <c r="I287" s="80">
        <v>55.45</v>
      </c>
      <c r="J287" s="81">
        <f>H287*I287</f>
        <v>6099.5</v>
      </c>
      <c r="K287" s="82"/>
      <c r="L287" s="83"/>
      <c r="O287" s="102"/>
      <c r="P287" s="26">
        <f t="shared" si="7"/>
        <v>0</v>
      </c>
    </row>
    <row r="288" spans="4:16" s="101" customFormat="1" ht="21" customHeight="1">
      <c r="D288" s="75"/>
      <c r="E288" s="76" t="s">
        <v>260</v>
      </c>
      <c r="F288" s="77" t="s">
        <v>70</v>
      </c>
      <c r="G288" s="78">
        <v>0.2</v>
      </c>
      <c r="H288" s="79">
        <f>ROUND(H283*G288,1.5)</f>
        <v>8.8000000000000007</v>
      </c>
      <c r="I288" s="80">
        <v>269</v>
      </c>
      <c r="J288" s="81">
        <f>H288*I288</f>
        <v>2367.2000000000003</v>
      </c>
      <c r="K288" s="82"/>
      <c r="L288" s="83"/>
      <c r="O288" s="102"/>
      <c r="P288" s="26">
        <f t="shared" si="7"/>
        <v>0</v>
      </c>
    </row>
    <row r="289" spans="4:16" s="101" customFormat="1" ht="21" customHeight="1">
      <c r="D289" s="75"/>
      <c r="E289" s="76" t="s">
        <v>118</v>
      </c>
      <c r="F289" s="77" t="s">
        <v>70</v>
      </c>
      <c r="G289" s="78">
        <v>0.2</v>
      </c>
      <c r="H289" s="79">
        <f>ROUND(H283*G289,1.5)</f>
        <v>8.8000000000000007</v>
      </c>
      <c r="I289" s="80">
        <v>191.67</v>
      </c>
      <c r="J289" s="81">
        <f>H289*I289</f>
        <v>1686.6959999999999</v>
      </c>
      <c r="K289" s="82"/>
      <c r="L289" s="83"/>
      <c r="O289" s="102"/>
      <c r="P289" s="26">
        <f t="shared" si="7"/>
        <v>0</v>
      </c>
    </row>
    <row r="290" spans="4:16" s="123" customFormat="1" ht="21.5" customHeight="1">
      <c r="D290" s="66" t="s">
        <v>74</v>
      </c>
      <c r="E290" s="67" t="s">
        <v>261</v>
      </c>
      <c r="F290" s="68" t="s">
        <v>88</v>
      </c>
      <c r="G290" s="69"/>
      <c r="H290" s="91">
        <v>116.3</v>
      </c>
      <c r="I290" s="71"/>
      <c r="J290" s="72"/>
      <c r="K290" s="73">
        <v>1000</v>
      </c>
      <c r="L290" s="74">
        <f>H290*K290</f>
        <v>116300</v>
      </c>
      <c r="N290" s="103"/>
      <c r="O290" s="102"/>
      <c r="P290" s="26">
        <f t="shared" si="7"/>
        <v>0</v>
      </c>
    </row>
    <row r="291" spans="4:16" s="123" customFormat="1" ht="21.5" customHeight="1">
      <c r="D291" s="66"/>
      <c r="E291" s="67"/>
      <c r="F291" s="68" t="s">
        <v>63</v>
      </c>
      <c r="G291" s="69">
        <v>1.1100000000000001</v>
      </c>
      <c r="H291" s="91">
        <f>H290*G291</f>
        <v>129.09300000000002</v>
      </c>
      <c r="I291" s="71"/>
      <c r="J291" s="72"/>
      <c r="K291" s="73"/>
      <c r="L291" s="74"/>
      <c r="N291" s="103"/>
      <c r="O291" s="102">
        <v>1000</v>
      </c>
      <c r="P291" s="26">
        <f t="shared" si="7"/>
        <v>129093.00000000001</v>
      </c>
    </row>
    <row r="292" spans="4:16" s="101" customFormat="1" ht="21" customHeight="1">
      <c r="D292" s="75"/>
      <c r="E292" s="76" t="s">
        <v>134</v>
      </c>
      <c r="F292" s="77" t="s">
        <v>63</v>
      </c>
      <c r="G292" s="78">
        <v>1.25</v>
      </c>
      <c r="H292" s="79">
        <f>H291*G292</f>
        <v>161.36625000000004</v>
      </c>
      <c r="I292" s="80">
        <v>1333.5</v>
      </c>
      <c r="J292" s="81">
        <f t="shared" ref="J292:J300" si="8">H292*I292</f>
        <v>215181.89437500006</v>
      </c>
      <c r="K292" s="82"/>
      <c r="L292" s="83"/>
      <c r="O292" s="102"/>
      <c r="P292" s="26">
        <f t="shared" si="7"/>
        <v>0</v>
      </c>
    </row>
    <row r="293" spans="4:16" s="101" customFormat="1" ht="21" customHeight="1">
      <c r="D293" s="75"/>
      <c r="E293" s="76" t="s">
        <v>262</v>
      </c>
      <c r="F293" s="77" t="s">
        <v>70</v>
      </c>
      <c r="G293" s="78">
        <v>2</v>
      </c>
      <c r="H293" s="79">
        <f>H290*G293</f>
        <v>232.6</v>
      </c>
      <c r="I293" s="80">
        <v>71.099999999999994</v>
      </c>
      <c r="J293" s="81">
        <f t="shared" si="8"/>
        <v>16537.859999999997</v>
      </c>
      <c r="K293" s="82"/>
      <c r="L293" s="83"/>
      <c r="O293" s="102"/>
      <c r="P293" s="26">
        <f t="shared" si="7"/>
        <v>0</v>
      </c>
    </row>
    <row r="294" spans="4:16" s="101" customFormat="1" ht="21" customHeight="1">
      <c r="D294" s="75"/>
      <c r="E294" s="76" t="s">
        <v>114</v>
      </c>
      <c r="F294" s="77" t="s">
        <v>70</v>
      </c>
      <c r="G294" s="78">
        <v>2</v>
      </c>
      <c r="H294" s="79">
        <f>H290*G294</f>
        <v>232.6</v>
      </c>
      <c r="I294" s="80">
        <v>4.8600000000000003</v>
      </c>
      <c r="J294" s="81">
        <f t="shared" si="8"/>
        <v>1130.4360000000001</v>
      </c>
      <c r="K294" s="82"/>
      <c r="L294" s="83"/>
      <c r="O294" s="102"/>
      <c r="P294" s="26">
        <f t="shared" si="7"/>
        <v>0</v>
      </c>
    </row>
    <row r="295" spans="4:16" s="101" customFormat="1" ht="21" customHeight="1">
      <c r="D295" s="75"/>
      <c r="E295" s="76" t="s">
        <v>116</v>
      </c>
      <c r="F295" s="77" t="s">
        <v>70</v>
      </c>
      <c r="G295" s="78">
        <v>2</v>
      </c>
      <c r="H295" s="79">
        <f>H290*G295</f>
        <v>232.6</v>
      </c>
      <c r="I295" s="80">
        <v>20.86</v>
      </c>
      <c r="J295" s="81">
        <f t="shared" si="8"/>
        <v>4852.0360000000001</v>
      </c>
      <c r="K295" s="82"/>
      <c r="L295" s="83"/>
      <c r="O295" s="102"/>
      <c r="P295" s="26">
        <f t="shared" si="7"/>
        <v>0</v>
      </c>
    </row>
    <row r="296" spans="4:16" s="101" customFormat="1" ht="21" customHeight="1">
      <c r="D296" s="75"/>
      <c r="E296" s="76" t="s">
        <v>263</v>
      </c>
      <c r="F296" s="77" t="s">
        <v>70</v>
      </c>
      <c r="G296" s="78">
        <v>1.18</v>
      </c>
      <c r="H296" s="79">
        <f>(H290/6)*G296</f>
        <v>22.87233333333333</v>
      </c>
      <c r="I296" s="80">
        <v>202.2</v>
      </c>
      <c r="J296" s="81">
        <f t="shared" si="8"/>
        <v>4624.7857999999987</v>
      </c>
      <c r="K296" s="82"/>
      <c r="L296" s="83"/>
      <c r="O296" s="102"/>
      <c r="P296" s="26">
        <f t="shared" si="7"/>
        <v>0</v>
      </c>
    </row>
    <row r="297" spans="4:16" s="101" customFormat="1" ht="21" customHeight="1">
      <c r="D297" s="75"/>
      <c r="E297" s="76" t="s">
        <v>130</v>
      </c>
      <c r="F297" s="77" t="s">
        <v>70</v>
      </c>
      <c r="G297" s="78">
        <v>4</v>
      </c>
      <c r="H297" s="79">
        <f>H295*G297</f>
        <v>930.4</v>
      </c>
      <c r="I297" s="80">
        <v>7.95</v>
      </c>
      <c r="J297" s="81">
        <f t="shared" si="8"/>
        <v>7396.68</v>
      </c>
      <c r="K297" s="82"/>
      <c r="L297" s="83"/>
      <c r="O297" s="102"/>
      <c r="P297" s="26">
        <f t="shared" si="7"/>
        <v>0</v>
      </c>
    </row>
    <row r="298" spans="4:16" s="101" customFormat="1" ht="21" customHeight="1">
      <c r="D298" s="75"/>
      <c r="E298" s="76" t="s">
        <v>137</v>
      </c>
      <c r="F298" s="77" t="s">
        <v>70</v>
      </c>
      <c r="G298" s="78">
        <v>4</v>
      </c>
      <c r="H298" s="79">
        <f>H295*G298</f>
        <v>930.4</v>
      </c>
      <c r="I298" s="80">
        <v>1.83</v>
      </c>
      <c r="J298" s="81">
        <f t="shared" si="8"/>
        <v>1702.6320000000001</v>
      </c>
      <c r="K298" s="82"/>
      <c r="L298" s="83"/>
      <c r="O298" s="102"/>
      <c r="P298" s="26">
        <f t="shared" si="7"/>
        <v>0</v>
      </c>
    </row>
    <row r="299" spans="4:16" s="101" customFormat="1" ht="21" customHeight="1">
      <c r="D299" s="75"/>
      <c r="E299" s="76" t="s">
        <v>260</v>
      </c>
      <c r="F299" s="77" t="s">
        <v>70</v>
      </c>
      <c r="G299" s="78">
        <v>0.2</v>
      </c>
      <c r="H299" s="79">
        <f>ROUND(H290*G299,1.5)</f>
        <v>23.3</v>
      </c>
      <c r="I299" s="80">
        <v>269</v>
      </c>
      <c r="J299" s="81">
        <f t="shared" si="8"/>
        <v>6267.7</v>
      </c>
      <c r="K299" s="82"/>
      <c r="L299" s="83"/>
      <c r="O299" s="102"/>
      <c r="P299" s="26">
        <f t="shared" si="7"/>
        <v>0</v>
      </c>
    </row>
    <row r="300" spans="4:16" s="101" customFormat="1" ht="21" customHeight="1">
      <c r="D300" s="75"/>
      <c r="E300" s="76" t="s">
        <v>118</v>
      </c>
      <c r="F300" s="77" t="s">
        <v>70</v>
      </c>
      <c r="G300" s="78">
        <v>0.2</v>
      </c>
      <c r="H300" s="79">
        <f>ROUND(H290*G300,1.5)</f>
        <v>23.3</v>
      </c>
      <c r="I300" s="80">
        <v>191.67</v>
      </c>
      <c r="J300" s="81">
        <f t="shared" si="8"/>
        <v>4465.9110000000001</v>
      </c>
      <c r="K300" s="82"/>
      <c r="L300" s="83"/>
      <c r="O300" s="102"/>
      <c r="P300" s="26">
        <f t="shared" si="7"/>
        <v>0</v>
      </c>
    </row>
    <row r="301" spans="4:16" s="123" customFormat="1" ht="21.5" customHeight="1">
      <c r="D301" s="66" t="s">
        <v>122</v>
      </c>
      <c r="E301" s="67" t="s">
        <v>264</v>
      </c>
      <c r="F301" s="68" t="s">
        <v>88</v>
      </c>
      <c r="G301" s="69"/>
      <c r="H301" s="91">
        <v>75.08</v>
      </c>
      <c r="I301" s="71"/>
      <c r="J301" s="72"/>
      <c r="K301" s="73">
        <v>1000</v>
      </c>
      <c r="L301" s="74">
        <f>H301*K301</f>
        <v>75080</v>
      </c>
      <c r="N301" s="103"/>
      <c r="O301" s="102"/>
      <c r="P301" s="26">
        <f t="shared" si="7"/>
        <v>0</v>
      </c>
    </row>
    <row r="302" spans="4:16" s="123" customFormat="1" ht="21.5" customHeight="1">
      <c r="D302" s="66"/>
      <c r="E302" s="67"/>
      <c r="F302" s="68" t="s">
        <v>63</v>
      </c>
      <c r="G302" s="69">
        <v>0.5</v>
      </c>
      <c r="H302" s="91">
        <f>H301*G302</f>
        <v>37.54</v>
      </c>
      <c r="I302" s="71"/>
      <c r="J302" s="72"/>
      <c r="K302" s="73"/>
      <c r="L302" s="74"/>
      <c r="N302" s="103"/>
      <c r="O302" s="102">
        <v>1000</v>
      </c>
      <c r="P302" s="26">
        <f t="shared" si="7"/>
        <v>37540</v>
      </c>
    </row>
    <row r="303" spans="4:16" s="101" customFormat="1" ht="21" customHeight="1">
      <c r="D303" s="75"/>
      <c r="E303" s="76" t="s">
        <v>134</v>
      </c>
      <c r="F303" s="77" t="s">
        <v>63</v>
      </c>
      <c r="G303" s="78">
        <v>1.25</v>
      </c>
      <c r="H303" s="79">
        <f>H302*G303</f>
        <v>46.924999999999997</v>
      </c>
      <c r="I303" s="80">
        <v>1333.5</v>
      </c>
      <c r="J303" s="81">
        <f>H303*I303</f>
        <v>62574.487499999996</v>
      </c>
      <c r="K303" s="82"/>
      <c r="L303" s="83"/>
      <c r="O303" s="102"/>
      <c r="P303" s="26">
        <f t="shared" si="7"/>
        <v>0</v>
      </c>
    </row>
    <row r="304" spans="4:16" s="101" customFormat="1" ht="21" customHeight="1">
      <c r="D304" s="75"/>
      <c r="E304" s="76" t="s">
        <v>260</v>
      </c>
      <c r="F304" s="77" t="s">
        <v>70</v>
      </c>
      <c r="G304" s="78">
        <v>0.2</v>
      </c>
      <c r="H304" s="79">
        <f>ROUND(H301*G304,1.5)</f>
        <v>15</v>
      </c>
      <c r="I304" s="80">
        <v>269</v>
      </c>
      <c r="J304" s="81">
        <f>H304*I304</f>
        <v>4035</v>
      </c>
      <c r="K304" s="82"/>
      <c r="L304" s="83"/>
      <c r="O304" s="102"/>
      <c r="P304" s="26">
        <f t="shared" si="7"/>
        <v>0</v>
      </c>
    </row>
    <row r="305" spans="4:16" s="101" customFormat="1" ht="21" customHeight="1">
      <c r="D305" s="75"/>
      <c r="E305" s="76" t="s">
        <v>118</v>
      </c>
      <c r="F305" s="77" t="s">
        <v>70</v>
      </c>
      <c r="G305" s="78">
        <v>0.2</v>
      </c>
      <c r="H305" s="79">
        <f>ROUND(H301*G305,1.5)</f>
        <v>15</v>
      </c>
      <c r="I305" s="80">
        <v>191.67</v>
      </c>
      <c r="J305" s="81">
        <f>H305*I305</f>
        <v>2875.0499999999997</v>
      </c>
      <c r="K305" s="82"/>
      <c r="L305" s="83"/>
      <c r="O305" s="102"/>
      <c r="P305" s="26">
        <f t="shared" si="7"/>
        <v>0</v>
      </c>
    </row>
    <row r="306" spans="4:16" s="123" customFormat="1" ht="21.5" customHeight="1">
      <c r="D306" s="66" t="s">
        <v>125</v>
      </c>
      <c r="E306" s="67" t="s">
        <v>265</v>
      </c>
      <c r="F306" s="68" t="s">
        <v>88</v>
      </c>
      <c r="G306" s="69"/>
      <c r="H306" s="91">
        <v>337.62</v>
      </c>
      <c r="I306" s="71"/>
      <c r="J306" s="72"/>
      <c r="K306" s="73">
        <v>1000</v>
      </c>
      <c r="L306" s="74">
        <f>H306*K306</f>
        <v>337620</v>
      </c>
      <c r="N306" s="103"/>
      <c r="O306" s="102"/>
      <c r="P306" s="26">
        <f t="shared" si="7"/>
        <v>0</v>
      </c>
    </row>
    <row r="307" spans="4:16" s="123" customFormat="1" ht="21.5" customHeight="1">
      <c r="D307" s="66"/>
      <c r="E307" s="67"/>
      <c r="F307" s="68" t="s">
        <v>63</v>
      </c>
      <c r="G307" s="69">
        <v>0.35</v>
      </c>
      <c r="H307" s="91">
        <f>H306*G307</f>
        <v>118.16699999999999</v>
      </c>
      <c r="I307" s="71"/>
      <c r="J307" s="72"/>
      <c r="K307" s="73"/>
      <c r="L307" s="74"/>
      <c r="N307" s="103"/>
      <c r="O307" s="102">
        <v>1000</v>
      </c>
      <c r="P307" s="26">
        <f t="shared" si="7"/>
        <v>118166.99999999999</v>
      </c>
    </row>
    <row r="308" spans="4:16" s="101" customFormat="1" ht="21" customHeight="1">
      <c r="D308" s="75"/>
      <c r="E308" s="76" t="s">
        <v>134</v>
      </c>
      <c r="F308" s="77" t="s">
        <v>63</v>
      </c>
      <c r="G308" s="78">
        <v>1.25</v>
      </c>
      <c r="H308" s="79">
        <f>H307*G308</f>
        <v>147.70874999999998</v>
      </c>
      <c r="I308" s="80">
        <v>1333.5</v>
      </c>
      <c r="J308" s="81">
        <f>H308*I308</f>
        <v>196969.61812499998</v>
      </c>
      <c r="K308" s="82"/>
      <c r="L308" s="83"/>
      <c r="O308" s="102"/>
      <c r="P308" s="26">
        <f t="shared" si="7"/>
        <v>0</v>
      </c>
    </row>
    <row r="309" spans="4:16" s="101" customFormat="1" ht="21" customHeight="1">
      <c r="D309" s="75"/>
      <c r="E309" s="76" t="s">
        <v>260</v>
      </c>
      <c r="F309" s="77" t="s">
        <v>70</v>
      </c>
      <c r="G309" s="78">
        <v>0.2</v>
      </c>
      <c r="H309" s="79">
        <f>ROUND(H306*G309,1.5)</f>
        <v>67.5</v>
      </c>
      <c r="I309" s="80">
        <v>269</v>
      </c>
      <c r="J309" s="81">
        <f>H309*I309</f>
        <v>18157.5</v>
      </c>
      <c r="K309" s="82"/>
      <c r="L309" s="83"/>
      <c r="O309" s="102"/>
      <c r="P309" s="26">
        <f t="shared" si="7"/>
        <v>0</v>
      </c>
    </row>
    <row r="310" spans="4:16" s="101" customFormat="1" ht="21" customHeight="1">
      <c r="D310" s="75"/>
      <c r="E310" s="76" t="s">
        <v>118</v>
      </c>
      <c r="F310" s="77" t="s">
        <v>70</v>
      </c>
      <c r="G310" s="78">
        <v>0.2</v>
      </c>
      <c r="H310" s="79">
        <f>ROUND(H306*G310,1.5)</f>
        <v>67.5</v>
      </c>
      <c r="I310" s="80">
        <v>191.67</v>
      </c>
      <c r="J310" s="81">
        <f>H310*I310</f>
        <v>12937.724999999999</v>
      </c>
      <c r="K310" s="82"/>
      <c r="L310" s="83"/>
      <c r="O310" s="102"/>
      <c r="P310" s="26">
        <f t="shared" si="7"/>
        <v>0</v>
      </c>
    </row>
    <row r="311" spans="4:16" s="123" customFormat="1" ht="21.5" customHeight="1">
      <c r="D311" s="66" t="s">
        <v>131</v>
      </c>
      <c r="E311" s="67" t="s">
        <v>266</v>
      </c>
      <c r="F311" s="68" t="s">
        <v>88</v>
      </c>
      <c r="G311" s="69"/>
      <c r="H311" s="91">
        <v>61.01</v>
      </c>
      <c r="I311" s="71"/>
      <c r="J311" s="72"/>
      <c r="K311" s="73">
        <v>1000</v>
      </c>
      <c r="L311" s="74">
        <f>H311*K311</f>
        <v>61010</v>
      </c>
      <c r="N311" s="103"/>
      <c r="O311" s="102"/>
      <c r="P311" s="26">
        <f t="shared" si="7"/>
        <v>0</v>
      </c>
    </row>
    <row r="312" spans="4:16" s="123" customFormat="1" ht="21.5" customHeight="1">
      <c r="D312" s="66"/>
      <c r="E312" s="67"/>
      <c r="F312" s="68" t="s">
        <v>63</v>
      </c>
      <c r="G312" s="69">
        <v>0.35</v>
      </c>
      <c r="H312" s="91">
        <f>H311*G312</f>
        <v>21.353499999999997</v>
      </c>
      <c r="I312" s="71"/>
      <c r="J312" s="72"/>
      <c r="K312" s="73"/>
      <c r="L312" s="74"/>
      <c r="N312" s="103"/>
      <c r="O312" s="102">
        <v>1000</v>
      </c>
      <c r="P312" s="26">
        <f t="shared" si="7"/>
        <v>21353.499999999996</v>
      </c>
    </row>
    <row r="313" spans="4:16" s="101" customFormat="1" ht="21" customHeight="1">
      <c r="D313" s="75"/>
      <c r="E313" s="76" t="s">
        <v>134</v>
      </c>
      <c r="F313" s="77" t="s">
        <v>63</v>
      </c>
      <c r="G313" s="78">
        <v>1.25</v>
      </c>
      <c r="H313" s="79">
        <f>H312*G313</f>
        <v>26.691874999999996</v>
      </c>
      <c r="I313" s="80">
        <v>1333.5</v>
      </c>
      <c r="J313" s="81">
        <f>H313*I313</f>
        <v>35593.615312499998</v>
      </c>
      <c r="K313" s="82"/>
      <c r="L313" s="83"/>
      <c r="O313" s="102"/>
      <c r="P313" s="26">
        <f t="shared" si="7"/>
        <v>0</v>
      </c>
    </row>
    <row r="314" spans="4:16" s="101" customFormat="1" ht="21" customHeight="1">
      <c r="D314" s="75"/>
      <c r="E314" s="76" t="s">
        <v>260</v>
      </c>
      <c r="F314" s="77" t="s">
        <v>70</v>
      </c>
      <c r="G314" s="78">
        <v>0.2</v>
      </c>
      <c r="H314" s="79">
        <f>ROUND(H311*G314,1.5)</f>
        <v>12.2</v>
      </c>
      <c r="I314" s="80">
        <v>269</v>
      </c>
      <c r="J314" s="81">
        <f>H314*I314</f>
        <v>3281.7999999999997</v>
      </c>
      <c r="K314" s="82"/>
      <c r="L314" s="83"/>
      <c r="O314" s="102"/>
      <c r="P314" s="26">
        <f t="shared" si="7"/>
        <v>0</v>
      </c>
    </row>
    <row r="315" spans="4:16" s="101" customFormat="1" ht="21" customHeight="1">
      <c r="D315" s="75"/>
      <c r="E315" s="76" t="s">
        <v>118</v>
      </c>
      <c r="F315" s="77" t="s">
        <v>70</v>
      </c>
      <c r="G315" s="78">
        <v>0.2</v>
      </c>
      <c r="H315" s="79">
        <f>ROUND(H311*G315,1.5)</f>
        <v>12.2</v>
      </c>
      <c r="I315" s="80">
        <v>191.67</v>
      </c>
      <c r="J315" s="81">
        <f>H315*I315</f>
        <v>2338.3739999999998</v>
      </c>
      <c r="K315" s="82"/>
      <c r="L315" s="83"/>
      <c r="O315" s="102"/>
      <c r="P315" s="26">
        <f t="shared" si="7"/>
        <v>0</v>
      </c>
    </row>
    <row r="316" spans="4:16" s="123" customFormat="1" ht="21.5" customHeight="1">
      <c r="D316" s="66" t="s">
        <v>167</v>
      </c>
      <c r="E316" s="67" t="s">
        <v>267</v>
      </c>
      <c r="F316" s="68" t="s">
        <v>88</v>
      </c>
      <c r="G316" s="69"/>
      <c r="H316" s="91">
        <v>283.5</v>
      </c>
      <c r="I316" s="71"/>
      <c r="J316" s="72"/>
      <c r="K316" s="73">
        <v>1000</v>
      </c>
      <c r="L316" s="74">
        <f>H316*K316</f>
        <v>283500</v>
      </c>
      <c r="N316" s="103"/>
      <c r="O316" s="102"/>
      <c r="P316" s="26">
        <f t="shared" si="7"/>
        <v>0</v>
      </c>
    </row>
    <row r="317" spans="4:16" s="123" customFormat="1" ht="21.5" customHeight="1">
      <c r="D317" s="66"/>
      <c r="E317" s="67"/>
      <c r="F317" s="68" t="s">
        <v>63</v>
      </c>
      <c r="G317" s="69">
        <v>0.4</v>
      </c>
      <c r="H317" s="91">
        <f>H316*G317</f>
        <v>113.4</v>
      </c>
      <c r="I317" s="71"/>
      <c r="J317" s="72"/>
      <c r="K317" s="73"/>
      <c r="L317" s="74"/>
      <c r="N317" s="103"/>
      <c r="O317" s="102">
        <v>1000</v>
      </c>
      <c r="P317" s="26"/>
    </row>
    <row r="318" spans="4:16" s="101" customFormat="1" ht="21" customHeight="1">
      <c r="D318" s="75"/>
      <c r="E318" s="76" t="s">
        <v>133</v>
      </c>
      <c r="F318" s="77" t="s">
        <v>63</v>
      </c>
      <c r="G318" s="78">
        <v>1.25</v>
      </c>
      <c r="H318" s="79">
        <f>H317*G318</f>
        <v>141.75</v>
      </c>
      <c r="I318" s="80">
        <v>1333.5</v>
      </c>
      <c r="J318" s="81">
        <f>H318*I318</f>
        <v>189023.625</v>
      </c>
      <c r="K318" s="82"/>
      <c r="L318" s="83"/>
      <c r="O318" s="102"/>
      <c r="P318" s="26"/>
    </row>
    <row r="319" spans="4:16" s="101" customFormat="1" ht="21" customHeight="1">
      <c r="D319" s="75"/>
      <c r="E319" s="76" t="s">
        <v>260</v>
      </c>
      <c r="F319" s="77" t="s">
        <v>70</v>
      </c>
      <c r="G319" s="78">
        <v>0.2</v>
      </c>
      <c r="H319" s="79">
        <f>ROUND(H316*G319,1.5)</f>
        <v>56.7</v>
      </c>
      <c r="I319" s="80">
        <v>269</v>
      </c>
      <c r="J319" s="81">
        <f>H319*I319</f>
        <v>15252.300000000001</v>
      </c>
      <c r="K319" s="82"/>
      <c r="L319" s="83"/>
      <c r="O319" s="102"/>
      <c r="P319" s="26"/>
    </row>
    <row r="320" spans="4:16" s="101" customFormat="1" ht="21" customHeight="1">
      <c r="D320" s="75"/>
      <c r="E320" s="76" t="s">
        <v>118</v>
      </c>
      <c r="F320" s="77" t="s">
        <v>70</v>
      </c>
      <c r="G320" s="78">
        <v>0.2</v>
      </c>
      <c r="H320" s="79">
        <f>ROUND(H316*G320,1.5)</f>
        <v>56.7</v>
      </c>
      <c r="I320" s="80">
        <v>191.67</v>
      </c>
      <c r="J320" s="81">
        <f>H320*I320</f>
        <v>10867.689</v>
      </c>
      <c r="K320" s="82"/>
      <c r="L320" s="83"/>
      <c r="O320" s="102"/>
      <c r="P320" s="26"/>
    </row>
    <row r="321" spans="4:16" s="123" customFormat="1" ht="21.5" customHeight="1">
      <c r="D321" s="66" t="s">
        <v>170</v>
      </c>
      <c r="E321" s="67" t="s">
        <v>268</v>
      </c>
      <c r="F321" s="68" t="s">
        <v>88</v>
      </c>
      <c r="G321" s="69"/>
      <c r="H321" s="91">
        <v>329.14</v>
      </c>
      <c r="I321" s="71"/>
      <c r="J321" s="72"/>
      <c r="K321" s="73">
        <v>180</v>
      </c>
      <c r="L321" s="74">
        <f>H321*K321</f>
        <v>59245.2</v>
      </c>
      <c r="N321" s="103"/>
      <c r="O321" s="102">
        <v>120</v>
      </c>
      <c r="P321" s="26">
        <f>O321*H321</f>
        <v>39496.799999999996</v>
      </c>
    </row>
    <row r="322" spans="4:16" s="101" customFormat="1" ht="21" customHeight="1">
      <c r="D322" s="75"/>
      <c r="E322" s="76" t="s">
        <v>269</v>
      </c>
      <c r="F322" s="77" t="s">
        <v>88</v>
      </c>
      <c r="G322" s="78">
        <v>1.1499999999999999</v>
      </c>
      <c r="H322" s="79">
        <f>193.92*G322</f>
        <v>223.00799999999998</v>
      </c>
      <c r="I322" s="80">
        <v>130</v>
      </c>
      <c r="J322" s="81">
        <f t="shared" ref="J322:J327" si="9">H322*I322</f>
        <v>28991.039999999997</v>
      </c>
      <c r="K322" s="82"/>
      <c r="L322" s="83"/>
      <c r="O322" s="102"/>
      <c r="P322" s="26"/>
    </row>
    <row r="323" spans="4:16" s="101" customFormat="1" ht="21" customHeight="1">
      <c r="D323" s="75"/>
      <c r="E323" s="76" t="s">
        <v>270</v>
      </c>
      <c r="F323" s="77" t="s">
        <v>88</v>
      </c>
      <c r="G323" s="78">
        <v>1.1499999999999999</v>
      </c>
      <c r="H323" s="79">
        <f>24.31*G323</f>
        <v>27.956499999999995</v>
      </c>
      <c r="I323" s="80">
        <v>153.6</v>
      </c>
      <c r="J323" s="81">
        <f t="shared" si="9"/>
        <v>4294.1183999999994</v>
      </c>
      <c r="K323" s="82"/>
      <c r="L323" s="83"/>
      <c r="O323" s="102"/>
      <c r="P323" s="26"/>
    </row>
    <row r="324" spans="4:16" s="101" customFormat="1" ht="21" customHeight="1">
      <c r="D324" s="75"/>
      <c r="E324" s="76" t="s">
        <v>271</v>
      </c>
      <c r="F324" s="77" t="s">
        <v>88</v>
      </c>
      <c r="G324" s="78">
        <v>1.1499999999999999</v>
      </c>
      <c r="H324" s="79">
        <f>95.24*G324</f>
        <v>109.52599999999998</v>
      </c>
      <c r="I324" s="80">
        <v>168</v>
      </c>
      <c r="J324" s="81">
        <f t="shared" si="9"/>
        <v>18400.367999999999</v>
      </c>
      <c r="K324" s="82"/>
      <c r="L324" s="83"/>
      <c r="O324" s="102"/>
      <c r="P324" s="26"/>
    </row>
    <row r="325" spans="4:16" s="101" customFormat="1" ht="21" customHeight="1">
      <c r="D325" s="75"/>
      <c r="E325" s="76" t="s">
        <v>260</v>
      </c>
      <c r="F325" s="77" t="s">
        <v>70</v>
      </c>
      <c r="G325" s="78">
        <v>0.2</v>
      </c>
      <c r="H325" s="79">
        <f>ROUND(H321*G325,0)</f>
        <v>66</v>
      </c>
      <c r="I325" s="80">
        <v>191.67</v>
      </c>
      <c r="J325" s="81">
        <f t="shared" si="9"/>
        <v>12650.22</v>
      </c>
      <c r="K325" s="82"/>
      <c r="L325" s="83"/>
      <c r="O325" s="102"/>
      <c r="P325" s="26"/>
    </row>
    <row r="326" spans="4:16" s="101" customFormat="1" ht="21" customHeight="1">
      <c r="D326" s="75"/>
      <c r="E326" s="76" t="s">
        <v>118</v>
      </c>
      <c r="F326" s="77" t="s">
        <v>70</v>
      </c>
      <c r="G326" s="78">
        <v>0.2</v>
      </c>
      <c r="H326" s="79">
        <f>ROUND(H321*G326,0)</f>
        <v>66</v>
      </c>
      <c r="I326" s="80">
        <v>161.66999999999999</v>
      </c>
      <c r="J326" s="81">
        <f t="shared" si="9"/>
        <v>10670.22</v>
      </c>
      <c r="K326" s="82"/>
      <c r="L326" s="83"/>
      <c r="O326" s="102"/>
      <c r="P326" s="26"/>
    </row>
    <row r="327" spans="4:16" s="101" customFormat="1" ht="21" customHeight="1">
      <c r="D327" s="75"/>
      <c r="E327" s="76" t="s">
        <v>272</v>
      </c>
      <c r="F327" s="77" t="s">
        <v>70</v>
      </c>
      <c r="G327" s="78">
        <v>5</v>
      </c>
      <c r="H327" s="79">
        <f>ROUND(H321*G327,0)</f>
        <v>1646</v>
      </c>
      <c r="I327" s="80">
        <v>3.56</v>
      </c>
      <c r="J327" s="81">
        <f t="shared" si="9"/>
        <v>5859.76</v>
      </c>
      <c r="K327" s="82"/>
      <c r="L327" s="83"/>
      <c r="O327" s="102"/>
      <c r="P327" s="26"/>
    </row>
    <row r="328" spans="4:16" s="123" customFormat="1" ht="21.5" customHeight="1">
      <c r="D328" s="66" t="s">
        <v>173</v>
      </c>
      <c r="E328" s="67" t="s">
        <v>273</v>
      </c>
      <c r="F328" s="68" t="s">
        <v>70</v>
      </c>
      <c r="G328" s="69"/>
      <c r="H328" s="91">
        <v>50</v>
      </c>
      <c r="I328" s="71"/>
      <c r="J328" s="72"/>
      <c r="K328" s="73">
        <v>850</v>
      </c>
      <c r="L328" s="74">
        <f>H328*K328</f>
        <v>42500</v>
      </c>
      <c r="N328" s="103"/>
      <c r="O328" s="102">
        <v>450</v>
      </c>
      <c r="P328" s="26">
        <f t="shared" si="7"/>
        <v>22500</v>
      </c>
    </row>
    <row r="329" spans="4:16" s="101" customFormat="1" ht="21" customHeight="1">
      <c r="D329" s="75"/>
      <c r="E329" s="76" t="s">
        <v>274</v>
      </c>
      <c r="F329" s="77" t="s">
        <v>70</v>
      </c>
      <c r="G329" s="78">
        <v>1</v>
      </c>
      <c r="H329" s="79">
        <v>50</v>
      </c>
      <c r="I329" s="80">
        <v>5000</v>
      </c>
      <c r="J329" s="81">
        <f>H329*I329</f>
        <v>250000</v>
      </c>
      <c r="K329" s="82"/>
      <c r="L329" s="83"/>
      <c r="O329" s="102"/>
      <c r="P329" s="26">
        <f t="shared" si="7"/>
        <v>0</v>
      </c>
    </row>
    <row r="330" spans="4:16" s="123" customFormat="1" ht="21.5" customHeight="1" thickBot="1">
      <c r="D330" s="66" t="s">
        <v>176</v>
      </c>
      <c r="E330" s="67" t="s">
        <v>275</v>
      </c>
      <c r="F330" s="68" t="s">
        <v>63</v>
      </c>
      <c r="G330" s="69"/>
      <c r="H330" s="70">
        <f>H128</f>
        <v>891.19</v>
      </c>
      <c r="I330" s="105"/>
      <c r="J330" s="106"/>
      <c r="K330" s="107">
        <v>200</v>
      </c>
      <c r="L330" s="74">
        <f>H330*K330</f>
        <v>178238</v>
      </c>
      <c r="N330" s="103"/>
      <c r="O330" s="102">
        <v>150</v>
      </c>
      <c r="P330" s="26">
        <f t="shared" si="7"/>
        <v>133678.5</v>
      </c>
    </row>
    <row r="331" spans="4:16" ht="18" customHeight="1">
      <c r="D331" s="124" t="s">
        <v>276</v>
      </c>
      <c r="E331" s="125"/>
      <c r="F331" s="125"/>
      <c r="G331" s="125"/>
      <c r="H331" s="125"/>
      <c r="I331" s="126"/>
      <c r="J331" s="127"/>
      <c r="K331" s="128"/>
      <c r="L331" s="129">
        <f>SUM(J20:J330)</f>
        <v>8385054.8954877565</v>
      </c>
      <c r="M331" s="25">
        <f>L331*1.2</f>
        <v>10062065.874585308</v>
      </c>
      <c r="O331" s="100"/>
      <c r="P331" s="26">
        <f t="shared" si="7"/>
        <v>0</v>
      </c>
    </row>
    <row r="332" spans="4:16" ht="18" customHeight="1">
      <c r="D332" s="130" t="s">
        <v>277</v>
      </c>
      <c r="E332" s="131"/>
      <c r="F332" s="131"/>
      <c r="G332" s="131"/>
      <c r="H332" s="131"/>
      <c r="I332" s="132"/>
      <c r="J332" s="133"/>
      <c r="K332" s="134"/>
      <c r="L332" s="135">
        <f>SUM(L20:L330)</f>
        <v>6409888.2273500003</v>
      </c>
      <c r="M332" s="25">
        <f>L332*1.2</f>
        <v>7691865.8728200002</v>
      </c>
      <c r="O332" s="100"/>
      <c r="P332" s="26">
        <f t="shared" si="7"/>
        <v>0</v>
      </c>
    </row>
    <row r="333" spans="4:16" ht="18.75" customHeight="1" thickBot="1">
      <c r="D333" s="136" t="s">
        <v>278</v>
      </c>
      <c r="E333" s="137"/>
      <c r="F333" s="137"/>
      <c r="G333" s="137"/>
      <c r="H333" s="137"/>
      <c r="I333" s="138"/>
      <c r="J333" s="139"/>
      <c r="K333" s="140"/>
      <c r="L333" s="141">
        <f>L332*0.03</f>
        <v>192296.6468205</v>
      </c>
      <c r="M333" s="25">
        <f>L333*1.2</f>
        <v>230755.9761846</v>
      </c>
      <c r="O333" s="100"/>
      <c r="P333" s="26">
        <f t="shared" si="7"/>
        <v>0</v>
      </c>
    </row>
    <row r="334" spans="4:16" ht="18" customHeight="1">
      <c r="D334" s="142" t="s">
        <v>279</v>
      </c>
      <c r="E334" s="143"/>
      <c r="F334" s="143"/>
      <c r="G334" s="143"/>
      <c r="H334" s="143"/>
      <c r="I334" s="144"/>
      <c r="J334" s="145">
        <f>ROUND(L331+L332+L333,2)</f>
        <v>14987239.77</v>
      </c>
      <c r="K334" s="146"/>
      <c r="L334" s="147"/>
      <c r="O334" s="100"/>
      <c r="P334" s="26">
        <f t="shared" si="7"/>
        <v>0</v>
      </c>
    </row>
    <row r="335" spans="4:16" ht="18">
      <c r="D335" s="148" t="s">
        <v>280</v>
      </c>
      <c r="E335" s="149"/>
      <c r="F335" s="149"/>
      <c r="G335" s="149"/>
      <c r="H335" s="149"/>
      <c r="I335" s="150"/>
      <c r="J335" s="151">
        <f>J334*0.2</f>
        <v>2997447.9539999999</v>
      </c>
      <c r="K335" s="152"/>
      <c r="L335" s="153"/>
      <c r="O335" s="100"/>
      <c r="P335" s="26">
        <f t="shared" si="7"/>
        <v>0</v>
      </c>
    </row>
    <row r="336" spans="4:16" ht="18.75" customHeight="1" thickBot="1">
      <c r="D336" s="154" t="s">
        <v>281</v>
      </c>
      <c r="E336" s="155"/>
      <c r="F336" s="155"/>
      <c r="G336" s="155"/>
      <c r="H336" s="155"/>
      <c r="I336" s="156"/>
      <c r="J336" s="157"/>
      <c r="K336" s="158"/>
      <c r="L336" s="159">
        <f>J334+J335</f>
        <v>17984687.723999999</v>
      </c>
      <c r="O336" s="100"/>
      <c r="P336" s="26">
        <f t="shared" si="7"/>
        <v>0</v>
      </c>
    </row>
    <row r="337" spans="4:16">
      <c r="O337" s="160"/>
      <c r="P337" s="26">
        <f t="shared" si="7"/>
        <v>0</v>
      </c>
    </row>
    <row r="338" spans="4:16">
      <c r="O338" s="100"/>
      <c r="P338" s="26">
        <f t="shared" si="7"/>
        <v>0</v>
      </c>
    </row>
    <row r="339" spans="4:16">
      <c r="O339" s="100"/>
      <c r="P339" s="26">
        <f t="shared" si="7"/>
        <v>0</v>
      </c>
    </row>
    <row r="340" spans="4:16">
      <c r="L340" s="25" t="s">
        <v>282</v>
      </c>
      <c r="O340" s="100"/>
      <c r="P340" s="26">
        <f t="shared" si="7"/>
        <v>0</v>
      </c>
    </row>
    <row r="341" spans="4:16">
      <c r="L341" s="161">
        <v>6609143.7000000002</v>
      </c>
      <c r="N341" s="25">
        <f>M331-106921.21</f>
        <v>9955144.6645853072</v>
      </c>
      <c r="O341" s="100"/>
      <c r="P341" s="26">
        <f t="shared" ref="P341:P404" si="10">O341*H341</f>
        <v>0</v>
      </c>
    </row>
    <row r="342" spans="4:16" ht="17" thickBot="1">
      <c r="O342" s="100"/>
      <c r="P342" s="26">
        <f t="shared" si="10"/>
        <v>0</v>
      </c>
    </row>
    <row r="343" spans="4:16">
      <c r="D343" s="43" t="s">
        <v>49</v>
      </c>
      <c r="E343" s="44" t="s">
        <v>50</v>
      </c>
      <c r="F343" s="44" t="s">
        <v>51</v>
      </c>
      <c r="G343" s="45" t="s">
        <v>52</v>
      </c>
      <c r="H343" s="46" t="s">
        <v>53</v>
      </c>
      <c r="I343" s="47" t="s">
        <v>54</v>
      </c>
      <c r="J343" s="48" t="s">
        <v>55</v>
      </c>
      <c r="K343" s="49" t="s">
        <v>56</v>
      </c>
      <c r="L343" s="50" t="s">
        <v>57</v>
      </c>
      <c r="O343" s="100"/>
    </row>
    <row r="344" spans="4:16" ht="17" thickBot="1">
      <c r="D344" s="51"/>
      <c r="E344" s="52" t="s">
        <v>58</v>
      </c>
      <c r="F344" s="52"/>
      <c r="G344" s="53"/>
      <c r="H344" s="54"/>
      <c r="I344" s="55"/>
      <c r="J344" s="56"/>
      <c r="K344" s="57"/>
      <c r="L344" s="58"/>
      <c r="O344" s="100"/>
      <c r="P344" s="26">
        <f t="shared" si="10"/>
        <v>0</v>
      </c>
    </row>
    <row r="345" spans="4:16" ht="17" thickBot="1">
      <c r="D345" s="59"/>
      <c r="E345" s="60" t="s">
        <v>59</v>
      </c>
      <c r="F345" s="61"/>
      <c r="G345" s="62"/>
      <c r="H345" s="62"/>
      <c r="I345" s="63"/>
      <c r="J345" s="64"/>
      <c r="K345" s="62"/>
      <c r="L345" s="65"/>
      <c r="O345" s="100"/>
      <c r="P345" s="26">
        <f t="shared" si="10"/>
        <v>0</v>
      </c>
    </row>
    <row r="346" spans="4:16" ht="17" thickBot="1">
      <c r="D346" s="59"/>
      <c r="E346" s="60" t="s">
        <v>283</v>
      </c>
      <c r="F346" s="61"/>
      <c r="G346" s="62"/>
      <c r="H346" s="62"/>
      <c r="I346" s="63"/>
      <c r="J346" s="64"/>
      <c r="K346" s="62"/>
      <c r="L346" s="65"/>
      <c r="O346" s="100"/>
      <c r="P346" s="26">
        <f t="shared" si="10"/>
        <v>0</v>
      </c>
    </row>
    <row r="347" spans="4:16" ht="18">
      <c r="D347" s="66" t="s">
        <v>61</v>
      </c>
      <c r="E347" s="67" t="s">
        <v>284</v>
      </c>
      <c r="F347" s="68" t="s">
        <v>88</v>
      </c>
      <c r="G347" s="69"/>
      <c r="H347" s="70">
        <f>100+24*0.7</f>
        <v>116.8</v>
      </c>
      <c r="I347" s="71"/>
      <c r="J347" s="72"/>
      <c r="K347" s="73">
        <v>700</v>
      </c>
      <c r="L347" s="74">
        <f>H347*K347</f>
        <v>81760</v>
      </c>
      <c r="O347" s="100">
        <v>350</v>
      </c>
      <c r="P347" s="26">
        <f t="shared" si="10"/>
        <v>40880</v>
      </c>
    </row>
    <row r="348" spans="4:16">
      <c r="D348" s="75"/>
      <c r="E348" s="76" t="s">
        <v>285</v>
      </c>
      <c r="F348" s="77" t="s">
        <v>88</v>
      </c>
      <c r="G348" s="78">
        <v>1.05</v>
      </c>
      <c r="H348" s="79">
        <f>100*G348</f>
        <v>105</v>
      </c>
      <c r="I348" s="80">
        <v>250</v>
      </c>
      <c r="J348" s="81">
        <f t="shared" ref="J348:J355" si="11">H348*I348</f>
        <v>26250</v>
      </c>
      <c r="K348" s="82"/>
      <c r="L348" s="83"/>
      <c r="O348" s="100"/>
      <c r="P348" s="26">
        <f t="shared" si="10"/>
        <v>0</v>
      </c>
    </row>
    <row r="349" spans="4:16">
      <c r="D349" s="75"/>
      <c r="E349" s="76" t="s">
        <v>286</v>
      </c>
      <c r="F349" s="77" t="s">
        <v>88</v>
      </c>
      <c r="G349" s="78">
        <v>1.05</v>
      </c>
      <c r="H349" s="79">
        <f>G349*(24*0.7)</f>
        <v>17.639999999999997</v>
      </c>
      <c r="I349" s="80">
        <v>90</v>
      </c>
      <c r="J349" s="81">
        <f t="shared" si="11"/>
        <v>1587.5999999999997</v>
      </c>
      <c r="K349" s="82"/>
      <c r="L349" s="83"/>
      <c r="O349" s="100"/>
      <c r="P349" s="26">
        <f t="shared" si="10"/>
        <v>0</v>
      </c>
    </row>
    <row r="350" spans="4:16" ht="28">
      <c r="D350" s="75"/>
      <c r="E350" s="76" t="s">
        <v>287</v>
      </c>
      <c r="F350" s="77" t="s">
        <v>88</v>
      </c>
      <c r="G350" s="78">
        <v>1</v>
      </c>
      <c r="H350" s="79">
        <f>G350*64*2</f>
        <v>128</v>
      </c>
      <c r="I350" s="80">
        <v>60</v>
      </c>
      <c r="J350" s="81">
        <f t="shared" si="11"/>
        <v>7680</v>
      </c>
      <c r="K350" s="82"/>
      <c r="L350" s="83"/>
      <c r="O350" s="100"/>
      <c r="P350" s="26">
        <f t="shared" si="10"/>
        <v>0</v>
      </c>
    </row>
    <row r="351" spans="4:16">
      <c r="D351" s="75"/>
      <c r="E351" s="76" t="s">
        <v>288</v>
      </c>
      <c r="F351" s="77" t="s">
        <v>70</v>
      </c>
      <c r="G351" s="78">
        <v>1</v>
      </c>
      <c r="H351" s="79">
        <f>6*4</f>
        <v>24</v>
      </c>
      <c r="I351" s="80">
        <v>181.64</v>
      </c>
      <c r="J351" s="81">
        <f t="shared" si="11"/>
        <v>4359.3599999999997</v>
      </c>
      <c r="K351" s="82"/>
      <c r="L351" s="83"/>
      <c r="O351" s="100"/>
      <c r="P351" s="26">
        <f t="shared" si="10"/>
        <v>0</v>
      </c>
    </row>
    <row r="352" spans="4:16" ht="28">
      <c r="D352" s="75"/>
      <c r="E352" s="76" t="s">
        <v>289</v>
      </c>
      <c r="F352" s="77" t="s">
        <v>290</v>
      </c>
      <c r="G352" s="78">
        <v>1</v>
      </c>
      <c r="H352" s="79">
        <v>6</v>
      </c>
      <c r="I352" s="80">
        <v>5249</v>
      </c>
      <c r="J352" s="81">
        <f t="shared" si="11"/>
        <v>31494</v>
      </c>
      <c r="K352" s="82"/>
      <c r="L352" s="83"/>
      <c r="O352" s="100"/>
      <c r="P352" s="26">
        <f t="shared" si="10"/>
        <v>0</v>
      </c>
    </row>
    <row r="353" spans="4:17">
      <c r="D353" s="75"/>
      <c r="E353" s="76" t="s">
        <v>291</v>
      </c>
      <c r="F353" s="77" t="s">
        <v>88</v>
      </c>
      <c r="G353" s="78">
        <v>1</v>
      </c>
      <c r="H353" s="79">
        <v>110</v>
      </c>
      <c r="I353" s="80">
        <v>150</v>
      </c>
      <c r="J353" s="81">
        <f t="shared" si="11"/>
        <v>16500</v>
      </c>
      <c r="K353" s="82"/>
      <c r="L353" s="83"/>
      <c r="O353" s="100"/>
      <c r="P353" s="26">
        <f t="shared" si="10"/>
        <v>0</v>
      </c>
    </row>
    <row r="354" spans="4:17" ht="28">
      <c r="D354" s="162"/>
      <c r="E354" s="163" t="s">
        <v>292</v>
      </c>
      <c r="F354" s="164" t="s">
        <v>70</v>
      </c>
      <c r="G354" s="165">
        <v>1</v>
      </c>
      <c r="H354" s="166">
        <v>48</v>
      </c>
      <c r="I354" s="165">
        <v>27.12</v>
      </c>
      <c r="J354" s="167">
        <f>H354*I354</f>
        <v>1301.76</v>
      </c>
      <c r="K354" s="82"/>
      <c r="L354" s="83"/>
      <c r="O354" s="100"/>
      <c r="P354" s="26">
        <f t="shared" si="10"/>
        <v>0</v>
      </c>
      <c r="Q354" s="168"/>
    </row>
    <row r="355" spans="4:17">
      <c r="D355" s="75"/>
      <c r="E355" s="76" t="s">
        <v>293</v>
      </c>
      <c r="F355" s="77" t="s">
        <v>70</v>
      </c>
      <c r="G355" s="78">
        <v>1</v>
      </c>
      <c r="H355" s="79">
        <v>1</v>
      </c>
      <c r="I355" s="80">
        <v>596</v>
      </c>
      <c r="J355" s="81">
        <f t="shared" si="11"/>
        <v>596</v>
      </c>
      <c r="K355" s="82"/>
      <c r="L355" s="83"/>
      <c r="O355" s="100"/>
      <c r="P355" s="26">
        <f t="shared" si="10"/>
        <v>0</v>
      </c>
    </row>
    <row r="356" spans="4:17" ht="18">
      <c r="D356" s="66" t="s">
        <v>71</v>
      </c>
      <c r="E356" s="67" t="s">
        <v>294</v>
      </c>
      <c r="F356" s="68" t="s">
        <v>70</v>
      </c>
      <c r="G356" s="69"/>
      <c r="H356" s="70">
        <v>24</v>
      </c>
      <c r="I356" s="71"/>
      <c r="J356" s="72"/>
      <c r="K356" s="73">
        <v>500</v>
      </c>
      <c r="L356" s="74">
        <f>H356*K356</f>
        <v>12000</v>
      </c>
      <c r="O356" s="100">
        <v>300</v>
      </c>
      <c r="P356" s="26">
        <f t="shared" si="10"/>
        <v>7200</v>
      </c>
    </row>
    <row r="357" spans="4:17">
      <c r="D357" s="75"/>
      <c r="E357" s="76" t="s">
        <v>295</v>
      </c>
      <c r="F357" s="77" t="s">
        <v>70</v>
      </c>
      <c r="G357" s="78">
        <v>1</v>
      </c>
      <c r="H357" s="79">
        <f>H356*G357</f>
        <v>24</v>
      </c>
      <c r="I357" s="80">
        <v>1600</v>
      </c>
      <c r="J357" s="81">
        <f>H357*I357</f>
        <v>38400</v>
      </c>
      <c r="K357" s="82"/>
      <c r="L357" s="83"/>
      <c r="O357" s="100"/>
      <c r="P357" s="26">
        <f t="shared" si="10"/>
        <v>0</v>
      </c>
    </row>
    <row r="358" spans="4:17">
      <c r="D358" s="75"/>
      <c r="E358" s="76" t="s">
        <v>296</v>
      </c>
      <c r="F358" s="77" t="s">
        <v>70</v>
      </c>
      <c r="G358" s="78">
        <v>1</v>
      </c>
      <c r="H358" s="79">
        <f>H350*G358</f>
        <v>128</v>
      </c>
      <c r="I358" s="80">
        <v>100</v>
      </c>
      <c r="J358" s="81">
        <f>H358*I358</f>
        <v>12800</v>
      </c>
      <c r="K358" s="82"/>
      <c r="L358" s="83"/>
      <c r="O358" s="100"/>
      <c r="P358" s="26">
        <f t="shared" si="10"/>
        <v>0</v>
      </c>
    </row>
    <row r="359" spans="4:17" ht="17" thickBot="1">
      <c r="D359" s="75"/>
      <c r="E359" s="76" t="s">
        <v>297</v>
      </c>
      <c r="F359" s="77" t="s">
        <v>70</v>
      </c>
      <c r="G359" s="78">
        <v>2</v>
      </c>
      <c r="H359" s="79">
        <f>H356*G359</f>
        <v>48</v>
      </c>
      <c r="I359" s="80">
        <v>3</v>
      </c>
      <c r="J359" s="81">
        <f>H359*I359</f>
        <v>144</v>
      </c>
      <c r="K359" s="82"/>
      <c r="L359" s="83"/>
      <c r="O359" s="100"/>
      <c r="P359" s="26">
        <f t="shared" si="10"/>
        <v>0</v>
      </c>
    </row>
    <row r="360" spans="4:17" ht="18">
      <c r="D360" s="124" t="s">
        <v>276</v>
      </c>
      <c r="E360" s="125"/>
      <c r="F360" s="125"/>
      <c r="G360" s="125"/>
      <c r="H360" s="125"/>
      <c r="I360" s="126"/>
      <c r="J360" s="127"/>
      <c r="K360" s="128"/>
      <c r="L360" s="129">
        <f>SUM(J346:J359)</f>
        <v>141112.71999999997</v>
      </c>
      <c r="M360" s="25">
        <f>L360*1.2</f>
        <v>169335.26399999997</v>
      </c>
      <c r="O360" s="100"/>
      <c r="P360" s="26">
        <f t="shared" si="10"/>
        <v>0</v>
      </c>
    </row>
    <row r="361" spans="4:17" ht="18">
      <c r="D361" s="130" t="s">
        <v>277</v>
      </c>
      <c r="E361" s="131"/>
      <c r="F361" s="131"/>
      <c r="G361" s="131"/>
      <c r="H361" s="131"/>
      <c r="I361" s="132"/>
      <c r="J361" s="133"/>
      <c r="K361" s="134"/>
      <c r="L361" s="135">
        <f>SUM(L346:L359)</f>
        <v>93760</v>
      </c>
      <c r="M361" s="25">
        <f>L361*1.2</f>
        <v>112512</v>
      </c>
      <c r="O361" s="100"/>
      <c r="P361" s="26">
        <f t="shared" si="10"/>
        <v>0</v>
      </c>
    </row>
    <row r="362" spans="4:17" ht="19" thickBot="1">
      <c r="D362" s="136" t="s">
        <v>278</v>
      </c>
      <c r="E362" s="137"/>
      <c r="F362" s="137"/>
      <c r="G362" s="137"/>
      <c r="H362" s="137"/>
      <c r="I362" s="138"/>
      <c r="J362" s="139"/>
      <c r="K362" s="140"/>
      <c r="L362" s="141">
        <f>L361*0.03</f>
        <v>2812.7999999999997</v>
      </c>
      <c r="M362" s="25">
        <f>L362*1.2</f>
        <v>3375.3599999999997</v>
      </c>
      <c r="O362" s="100"/>
      <c r="P362" s="26">
        <f t="shared" si="10"/>
        <v>0</v>
      </c>
    </row>
    <row r="363" spans="4:17" ht="18">
      <c r="D363" s="142" t="s">
        <v>279</v>
      </c>
      <c r="E363" s="143"/>
      <c r="F363" s="143"/>
      <c r="G363" s="143"/>
      <c r="H363" s="143"/>
      <c r="I363" s="144"/>
      <c r="J363" s="145">
        <f>ROUND(L360+L361+L362,2)</f>
        <v>237685.52</v>
      </c>
      <c r="K363" s="146"/>
      <c r="L363" s="147"/>
      <c r="O363" s="100"/>
      <c r="P363" s="26">
        <f t="shared" si="10"/>
        <v>0</v>
      </c>
    </row>
    <row r="364" spans="4:17" ht="18">
      <c r="D364" s="148" t="s">
        <v>280</v>
      </c>
      <c r="E364" s="149"/>
      <c r="F364" s="149"/>
      <c r="G364" s="149"/>
      <c r="H364" s="149"/>
      <c r="I364" s="150"/>
      <c r="J364" s="151">
        <f>J363*0.2</f>
        <v>47537.103999999999</v>
      </c>
      <c r="K364" s="152"/>
      <c r="L364" s="153"/>
      <c r="O364" s="100"/>
      <c r="P364" s="26">
        <f t="shared" si="10"/>
        <v>0</v>
      </c>
    </row>
    <row r="365" spans="4:17" ht="19" thickBot="1">
      <c r="D365" s="154" t="s">
        <v>281</v>
      </c>
      <c r="E365" s="155"/>
      <c r="F365" s="155"/>
      <c r="G365" s="155"/>
      <c r="H365" s="155"/>
      <c r="I365" s="156"/>
      <c r="J365" s="157"/>
      <c r="K365" s="158"/>
      <c r="L365" s="159">
        <f>J363+J364</f>
        <v>285222.62400000001</v>
      </c>
      <c r="O365" s="100"/>
      <c r="P365" s="26">
        <f t="shared" si="10"/>
        <v>0</v>
      </c>
    </row>
    <row r="366" spans="4:17">
      <c r="O366" s="100"/>
      <c r="P366" s="26">
        <f t="shared" si="10"/>
        <v>0</v>
      </c>
    </row>
    <row r="367" spans="4:17">
      <c r="O367" s="100"/>
      <c r="P367" s="26">
        <f t="shared" si="10"/>
        <v>0</v>
      </c>
    </row>
    <row r="368" spans="4:17">
      <c r="O368" s="100"/>
      <c r="P368" s="26">
        <f t="shared" si="10"/>
        <v>0</v>
      </c>
    </row>
    <row r="369" spans="1:16">
      <c r="L369" s="169"/>
      <c r="O369" s="100"/>
      <c r="P369" s="26">
        <f t="shared" si="10"/>
        <v>0</v>
      </c>
    </row>
    <row r="370" spans="1:16">
      <c r="K370" s="25" t="s">
        <v>298</v>
      </c>
      <c r="L370" s="25">
        <f>M360*0.9</f>
        <v>152401.73759999996</v>
      </c>
      <c r="O370" s="100"/>
      <c r="P370" s="26">
        <f t="shared" si="10"/>
        <v>0</v>
      </c>
    </row>
    <row r="371" spans="1:16">
      <c r="O371" s="100"/>
      <c r="P371" s="26">
        <f t="shared" si="10"/>
        <v>0</v>
      </c>
    </row>
    <row r="372" spans="1:16" ht="17" thickBot="1">
      <c r="O372" s="100"/>
      <c r="P372" s="26">
        <f t="shared" si="10"/>
        <v>0</v>
      </c>
    </row>
    <row r="373" spans="1:16" ht="51">
      <c r="A373" s="170" t="s">
        <v>299</v>
      </c>
      <c r="B373" s="171" t="s">
        <v>300</v>
      </c>
      <c r="C373" s="172" t="s">
        <v>301</v>
      </c>
      <c r="D373" s="172" t="s">
        <v>53</v>
      </c>
      <c r="E373" s="173" t="s">
        <v>302</v>
      </c>
      <c r="F373" s="173" t="s">
        <v>303</v>
      </c>
      <c r="G373" s="171" t="s">
        <v>304</v>
      </c>
      <c r="H373" s="172" t="s">
        <v>301</v>
      </c>
      <c r="I373" s="172" t="s">
        <v>305</v>
      </c>
      <c r="J373" s="172" t="s">
        <v>306</v>
      </c>
      <c r="K373" s="173" t="s">
        <v>302</v>
      </c>
      <c r="L373" s="174" t="s">
        <v>307</v>
      </c>
      <c r="O373" s="100"/>
    </row>
    <row r="374" spans="1:16" ht="34">
      <c r="A374" s="175"/>
      <c r="B374" s="176" t="s">
        <v>308</v>
      </c>
      <c r="C374" s="177"/>
      <c r="D374" s="177"/>
      <c r="E374" s="177"/>
      <c r="F374" s="177"/>
      <c r="G374" s="177"/>
      <c r="H374" s="176"/>
      <c r="I374" s="176"/>
      <c r="J374" s="176"/>
      <c r="K374" s="178"/>
      <c r="L374" s="179"/>
      <c r="O374" s="100"/>
      <c r="P374" s="26">
        <f t="shared" si="10"/>
        <v>0</v>
      </c>
    </row>
    <row r="375" spans="1:16">
      <c r="A375" s="180">
        <v>1</v>
      </c>
      <c r="B375" s="181" t="s">
        <v>309</v>
      </c>
      <c r="C375" s="182" t="s">
        <v>310</v>
      </c>
      <c r="D375" s="183">
        <v>131.30000000000001</v>
      </c>
      <c r="E375" s="184">
        <v>900</v>
      </c>
      <c r="F375" s="185">
        <v>118170.00000000001</v>
      </c>
      <c r="G375" s="186" t="s">
        <v>311</v>
      </c>
      <c r="H375" s="187" t="s">
        <v>88</v>
      </c>
      <c r="I375" s="188">
        <v>1.05</v>
      </c>
      <c r="J375" s="188">
        <v>246</v>
      </c>
      <c r="K375" s="188">
        <v>181</v>
      </c>
      <c r="L375" s="189">
        <f>J375*K375</f>
        <v>44526</v>
      </c>
      <c r="O375" s="100"/>
    </row>
    <row r="376" spans="1:16">
      <c r="A376" s="180">
        <v>2</v>
      </c>
      <c r="B376" s="181" t="s">
        <v>312</v>
      </c>
      <c r="C376" s="182" t="s">
        <v>310</v>
      </c>
      <c r="D376" s="183">
        <v>131.30000000000001</v>
      </c>
      <c r="E376" s="184">
        <v>228</v>
      </c>
      <c r="F376" s="185">
        <v>29936.400000000001</v>
      </c>
      <c r="G376" s="190" t="s">
        <v>313</v>
      </c>
      <c r="H376" s="191" t="s">
        <v>88</v>
      </c>
      <c r="I376" s="188">
        <v>1.05</v>
      </c>
      <c r="J376" s="188">
        <v>138</v>
      </c>
      <c r="K376" s="188">
        <v>78</v>
      </c>
      <c r="L376" s="189">
        <f>J376*K376</f>
        <v>10764</v>
      </c>
      <c r="O376" s="100">
        <v>110</v>
      </c>
      <c r="P376" s="26">
        <f>O376*D376</f>
        <v>14443.000000000002</v>
      </c>
    </row>
    <row r="377" spans="1:16">
      <c r="A377" s="192"/>
      <c r="B377" s="193"/>
      <c r="C377" s="194"/>
      <c r="D377" s="195"/>
      <c r="E377" s="194"/>
      <c r="F377" s="195"/>
      <c r="G377" s="186" t="s">
        <v>314</v>
      </c>
      <c r="H377" s="187" t="s">
        <v>315</v>
      </c>
      <c r="I377" s="188">
        <v>1.05</v>
      </c>
      <c r="J377" s="188">
        <v>135</v>
      </c>
      <c r="K377" s="188">
        <v>234</v>
      </c>
      <c r="L377" s="189">
        <f>J377*K377</f>
        <v>31590</v>
      </c>
      <c r="O377" s="100"/>
    </row>
    <row r="378" spans="1:16">
      <c r="A378" s="196"/>
      <c r="B378" s="193"/>
      <c r="C378" s="194"/>
      <c r="D378" s="195"/>
      <c r="E378" s="194"/>
      <c r="F378" s="195"/>
      <c r="G378" s="186" t="s">
        <v>316</v>
      </c>
      <c r="H378" s="187" t="s">
        <v>70</v>
      </c>
      <c r="I378" s="188">
        <v>1</v>
      </c>
      <c r="J378" s="188">
        <v>540</v>
      </c>
      <c r="K378" s="188">
        <v>16</v>
      </c>
      <c r="L378" s="189">
        <f>J378*K378</f>
        <v>8640</v>
      </c>
      <c r="O378" s="100"/>
    </row>
    <row r="379" spans="1:16">
      <c r="A379" s="196"/>
      <c r="B379" s="193"/>
      <c r="C379" s="194"/>
      <c r="D379" s="195"/>
      <c r="E379" s="194"/>
      <c r="F379" s="195"/>
      <c r="G379" s="186"/>
      <c r="H379" s="187"/>
      <c r="I379" s="188"/>
      <c r="J379" s="188"/>
      <c r="K379" s="188"/>
      <c r="L379" s="189"/>
      <c r="O379" s="100"/>
    </row>
    <row r="380" spans="1:16">
      <c r="A380" s="196"/>
      <c r="B380" s="193"/>
      <c r="C380" s="194"/>
      <c r="D380" s="195"/>
      <c r="E380" s="194"/>
      <c r="F380" s="195"/>
      <c r="G380" s="186" t="s">
        <v>317</v>
      </c>
      <c r="H380" s="187" t="s">
        <v>318</v>
      </c>
      <c r="I380" s="188">
        <v>1</v>
      </c>
      <c r="J380" s="188"/>
      <c r="K380" s="188"/>
      <c r="L380" s="189">
        <v>9600</v>
      </c>
      <c r="O380" s="100"/>
    </row>
    <row r="381" spans="1:16">
      <c r="A381" s="196"/>
      <c r="B381" s="193"/>
      <c r="C381" s="194"/>
      <c r="D381" s="195"/>
      <c r="E381" s="194"/>
      <c r="F381" s="195"/>
      <c r="G381" s="186"/>
      <c r="H381" s="187"/>
      <c r="I381" s="188"/>
      <c r="J381" s="188"/>
      <c r="K381" s="188"/>
      <c r="L381" s="189"/>
      <c r="O381" s="100"/>
    </row>
    <row r="382" spans="1:16">
      <c r="A382" s="197"/>
      <c r="B382" s="198" t="s">
        <v>319</v>
      </c>
      <c r="C382" s="199"/>
      <c r="D382" s="200"/>
      <c r="E382" s="201"/>
      <c r="F382" s="202">
        <f>SUM(F375:F378)</f>
        <v>148106.40000000002</v>
      </c>
      <c r="G382" s="203" t="s">
        <v>320</v>
      </c>
      <c r="H382" s="204"/>
      <c r="I382" s="204"/>
      <c r="J382" s="205"/>
      <c r="K382" s="206"/>
      <c r="L382" s="207">
        <f>SUM(L375:L380)</f>
        <v>105120</v>
      </c>
      <c r="O382" s="100"/>
    </row>
    <row r="383" spans="1:16">
      <c r="A383" s="208"/>
      <c r="B383" s="209"/>
      <c r="C383" s="210"/>
      <c r="D383" s="211"/>
      <c r="E383" s="212"/>
      <c r="F383" s="211"/>
      <c r="G383" s="213"/>
      <c r="H383" s="213"/>
      <c r="I383" s="214" t="s">
        <v>321</v>
      </c>
      <c r="J383" s="215"/>
      <c r="K383" s="216"/>
      <c r="L383" s="207">
        <f>SUM(F382)</f>
        <v>148106.40000000002</v>
      </c>
      <c r="O383" s="100"/>
    </row>
    <row r="384" spans="1:16">
      <c r="A384" s="217"/>
      <c r="B384" s="218"/>
      <c r="C384" s="218"/>
      <c r="D384" s="218"/>
      <c r="E384" s="203"/>
      <c r="F384" s="219"/>
      <c r="G384" s="203"/>
      <c r="H384" s="213"/>
      <c r="I384" s="214" t="s">
        <v>322</v>
      </c>
      <c r="J384" s="215"/>
      <c r="K384" s="216"/>
      <c r="L384" s="207">
        <f>SUM(L382)</f>
        <v>105120</v>
      </c>
      <c r="O384" s="100"/>
    </row>
    <row r="385" spans="1:16" ht="17" thickBot="1">
      <c r="A385" s="220"/>
      <c r="B385" s="221"/>
      <c r="C385" s="221"/>
      <c r="D385" s="221"/>
      <c r="E385" s="221"/>
      <c r="F385" s="221"/>
      <c r="G385" s="221"/>
      <c r="H385" s="222" t="s">
        <v>323</v>
      </c>
      <c r="I385" s="223"/>
      <c r="J385" s="223"/>
      <c r="K385" s="224"/>
      <c r="L385" s="225">
        <f>L383+L384</f>
        <v>253226.40000000002</v>
      </c>
      <c r="O385" s="100"/>
    </row>
    <row r="386" spans="1:16">
      <c r="O386" s="100"/>
    </row>
    <row r="387" spans="1:16" ht="17" thickBot="1">
      <c r="O387" s="100"/>
    </row>
    <row r="388" spans="1:16">
      <c r="D388" s="43" t="s">
        <v>49</v>
      </c>
      <c r="E388" s="44" t="s">
        <v>50</v>
      </c>
      <c r="F388" s="44" t="s">
        <v>51</v>
      </c>
      <c r="G388" s="45" t="s">
        <v>52</v>
      </c>
      <c r="H388" s="46" t="s">
        <v>53</v>
      </c>
      <c r="I388" s="47" t="s">
        <v>54</v>
      </c>
      <c r="J388" s="48" t="s">
        <v>55</v>
      </c>
      <c r="K388" s="49" t="s">
        <v>56</v>
      </c>
      <c r="L388" s="50" t="s">
        <v>57</v>
      </c>
      <c r="O388" s="100"/>
    </row>
    <row r="389" spans="1:16" ht="24" customHeight="1" thickBot="1">
      <c r="D389" s="51"/>
      <c r="E389" s="226" t="s">
        <v>58</v>
      </c>
      <c r="F389" s="226"/>
      <c r="G389" s="227"/>
      <c r="H389" s="228"/>
      <c r="I389" s="229"/>
      <c r="J389" s="230"/>
      <c r="K389" s="231"/>
      <c r="L389" s="58"/>
      <c r="O389" s="100"/>
      <c r="P389" s="26">
        <f t="shared" si="10"/>
        <v>0</v>
      </c>
    </row>
    <row r="390" spans="1:16" ht="17" thickBot="1">
      <c r="D390" s="59"/>
      <c r="E390" s="60" t="s">
        <v>324</v>
      </c>
      <c r="F390" s="61"/>
      <c r="G390" s="62"/>
      <c r="H390" s="62"/>
      <c r="I390" s="63"/>
      <c r="J390" s="64"/>
      <c r="K390" s="62"/>
      <c r="L390" s="65"/>
      <c r="O390" s="100"/>
      <c r="P390" s="26">
        <f t="shared" si="10"/>
        <v>0</v>
      </c>
    </row>
    <row r="391" spans="1:16" ht="17" thickBot="1">
      <c r="D391" s="59"/>
      <c r="E391" s="60" t="s">
        <v>60</v>
      </c>
      <c r="F391" s="61"/>
      <c r="G391" s="62"/>
      <c r="H391" s="62"/>
      <c r="I391" s="63"/>
      <c r="J391" s="64"/>
      <c r="K391" s="62"/>
      <c r="L391" s="65"/>
      <c r="O391" s="100"/>
      <c r="P391" s="26">
        <f t="shared" si="10"/>
        <v>0</v>
      </c>
    </row>
    <row r="392" spans="1:16" ht="28">
      <c r="D392" s="66" t="s">
        <v>61</v>
      </c>
      <c r="E392" s="67" t="s">
        <v>325</v>
      </c>
      <c r="F392" s="68" t="s">
        <v>63</v>
      </c>
      <c r="G392" s="69"/>
      <c r="H392" s="70">
        <v>375</v>
      </c>
      <c r="I392" s="71"/>
      <c r="J392" s="72"/>
      <c r="K392" s="73">
        <v>250</v>
      </c>
      <c r="L392" s="74">
        <f>H392*K392</f>
        <v>93750</v>
      </c>
      <c r="O392" s="100">
        <v>150</v>
      </c>
      <c r="P392" s="26">
        <f>O392*H392</f>
        <v>56250</v>
      </c>
    </row>
    <row r="393" spans="1:16">
      <c r="D393" s="75"/>
      <c r="E393" s="76" t="s">
        <v>326</v>
      </c>
      <c r="F393" s="77" t="s">
        <v>63</v>
      </c>
      <c r="G393" s="78">
        <v>1.05</v>
      </c>
      <c r="H393" s="79">
        <f>G393*H392</f>
        <v>393.75</v>
      </c>
      <c r="I393" s="80">
        <v>76.400000000000006</v>
      </c>
      <c r="J393" s="81">
        <f>H393*I393</f>
        <v>30082.500000000004</v>
      </c>
      <c r="K393" s="82"/>
      <c r="L393" s="83"/>
      <c r="O393" s="100"/>
      <c r="P393" s="26">
        <f t="shared" si="10"/>
        <v>0</v>
      </c>
    </row>
    <row r="394" spans="1:16" ht="17" thickBot="1">
      <c r="D394" s="75"/>
      <c r="E394" s="76" t="s">
        <v>327</v>
      </c>
      <c r="F394" s="77" t="s">
        <v>70</v>
      </c>
      <c r="G394" s="78">
        <v>0.1</v>
      </c>
      <c r="H394" s="79">
        <f>G394*H392</f>
        <v>37.5</v>
      </c>
      <c r="I394" s="78">
        <v>229</v>
      </c>
      <c r="J394" s="81">
        <f>H394*I394</f>
        <v>8587.5</v>
      </c>
      <c r="K394" s="82"/>
      <c r="L394" s="83"/>
      <c r="O394" s="100"/>
      <c r="P394" s="26">
        <f t="shared" si="10"/>
        <v>0</v>
      </c>
    </row>
    <row r="395" spans="1:16" ht="18">
      <c r="D395" s="124" t="s">
        <v>276</v>
      </c>
      <c r="E395" s="125"/>
      <c r="F395" s="125"/>
      <c r="G395" s="125"/>
      <c r="H395" s="125"/>
      <c r="I395" s="126"/>
      <c r="J395" s="127"/>
      <c r="K395" s="128"/>
      <c r="L395" s="129">
        <f>SUM(J391:J394)</f>
        <v>38670</v>
      </c>
      <c r="M395" s="25">
        <f>L395*1.2</f>
        <v>46404</v>
      </c>
      <c r="O395" s="100"/>
      <c r="P395" s="26">
        <f t="shared" si="10"/>
        <v>0</v>
      </c>
    </row>
    <row r="396" spans="1:16" ht="18">
      <c r="D396" s="130" t="s">
        <v>277</v>
      </c>
      <c r="E396" s="131"/>
      <c r="F396" s="131"/>
      <c r="G396" s="131"/>
      <c r="H396" s="131"/>
      <c r="I396" s="132"/>
      <c r="J396" s="133"/>
      <c r="K396" s="134"/>
      <c r="L396" s="135">
        <f>SUM(L391:L394)</f>
        <v>93750</v>
      </c>
      <c r="M396" s="25">
        <f>L396*1.2</f>
        <v>112500</v>
      </c>
      <c r="O396" s="100"/>
      <c r="P396" s="26">
        <f t="shared" si="10"/>
        <v>0</v>
      </c>
    </row>
    <row r="397" spans="1:16" ht="19" thickBot="1">
      <c r="D397" s="136" t="s">
        <v>278</v>
      </c>
      <c r="E397" s="137"/>
      <c r="F397" s="137"/>
      <c r="G397" s="137"/>
      <c r="H397" s="137"/>
      <c r="I397" s="138"/>
      <c r="J397" s="139"/>
      <c r="K397" s="140"/>
      <c r="L397" s="141">
        <f>L396*0.03</f>
        <v>2812.5</v>
      </c>
      <c r="M397" s="25">
        <f>L397*1.2</f>
        <v>3375</v>
      </c>
      <c r="O397" s="100"/>
      <c r="P397" s="26">
        <f t="shared" si="10"/>
        <v>0</v>
      </c>
    </row>
    <row r="398" spans="1:16" ht="18">
      <c r="D398" s="142" t="s">
        <v>279</v>
      </c>
      <c r="E398" s="143"/>
      <c r="F398" s="143"/>
      <c r="G398" s="143"/>
      <c r="H398" s="143"/>
      <c r="I398" s="144"/>
      <c r="J398" s="145">
        <f>ROUND(L395+L396+L397,2)</f>
        <v>135232.5</v>
      </c>
      <c r="K398" s="146"/>
      <c r="L398" s="147"/>
      <c r="O398" s="100"/>
      <c r="P398" s="26">
        <f t="shared" si="10"/>
        <v>0</v>
      </c>
    </row>
    <row r="399" spans="1:16" ht="18">
      <c r="D399" s="148" t="s">
        <v>280</v>
      </c>
      <c r="E399" s="149"/>
      <c r="F399" s="149"/>
      <c r="G399" s="149"/>
      <c r="H399" s="149"/>
      <c r="I399" s="150"/>
      <c r="J399" s="151">
        <f>J398*0.2</f>
        <v>27046.5</v>
      </c>
      <c r="K399" s="152"/>
      <c r="L399" s="153"/>
      <c r="O399" s="100"/>
      <c r="P399" s="26">
        <f t="shared" si="10"/>
        <v>0</v>
      </c>
    </row>
    <row r="400" spans="1:16" ht="19" thickBot="1">
      <c r="D400" s="154" t="s">
        <v>281</v>
      </c>
      <c r="E400" s="155"/>
      <c r="F400" s="155"/>
      <c r="G400" s="155"/>
      <c r="H400" s="155"/>
      <c r="I400" s="156"/>
      <c r="J400" s="157"/>
      <c r="K400" s="158"/>
      <c r="L400" s="159">
        <f>J398+J399</f>
        <v>162279</v>
      </c>
      <c r="O400" s="100"/>
      <c r="P400" s="26">
        <f t="shared" si="10"/>
        <v>0</v>
      </c>
    </row>
    <row r="401" spans="4:16">
      <c r="O401" s="100"/>
      <c r="P401" s="26">
        <f t="shared" si="10"/>
        <v>0</v>
      </c>
    </row>
    <row r="402" spans="4:16" ht="17" thickBot="1">
      <c r="O402" s="100"/>
      <c r="P402" s="26">
        <f t="shared" si="10"/>
        <v>0</v>
      </c>
    </row>
    <row r="403" spans="4:16">
      <c r="D403" s="43" t="s">
        <v>49</v>
      </c>
      <c r="E403" s="44" t="s">
        <v>50</v>
      </c>
      <c r="F403" s="44" t="s">
        <v>51</v>
      </c>
      <c r="G403" s="45" t="s">
        <v>52</v>
      </c>
      <c r="H403" s="46" t="s">
        <v>53</v>
      </c>
      <c r="I403" s="47" t="s">
        <v>54</v>
      </c>
      <c r="J403" s="48" t="s">
        <v>55</v>
      </c>
      <c r="K403" s="49" t="s">
        <v>56</v>
      </c>
      <c r="L403" s="50" t="s">
        <v>57</v>
      </c>
      <c r="O403" s="100"/>
    </row>
    <row r="404" spans="4:16" ht="17" thickBot="1">
      <c r="D404" s="51"/>
      <c r="E404" s="226" t="s">
        <v>58</v>
      </c>
      <c r="F404" s="226"/>
      <c r="G404" s="227"/>
      <c r="H404" s="228"/>
      <c r="I404" s="229"/>
      <c r="J404" s="230"/>
      <c r="K404" s="231"/>
      <c r="L404" s="58"/>
      <c r="O404" s="100"/>
      <c r="P404" s="26">
        <f t="shared" si="10"/>
        <v>0</v>
      </c>
    </row>
    <row r="405" spans="4:16" ht="17" thickBot="1">
      <c r="D405" s="59"/>
      <c r="E405" s="60" t="s">
        <v>328</v>
      </c>
      <c r="F405" s="61"/>
      <c r="G405" s="62"/>
      <c r="H405" s="62"/>
      <c r="I405" s="63"/>
      <c r="J405" s="64"/>
      <c r="K405" s="62"/>
      <c r="L405" s="65"/>
      <c r="O405" s="100"/>
      <c r="P405" s="26">
        <f t="shared" ref="P405:P415" si="12">O405*H405</f>
        <v>0</v>
      </c>
    </row>
    <row r="406" spans="4:16" ht="17" thickBot="1">
      <c r="D406" s="59"/>
      <c r="E406" s="60" t="s">
        <v>329</v>
      </c>
      <c r="F406" s="61"/>
      <c r="G406" s="62"/>
      <c r="H406" s="62"/>
      <c r="I406" s="63"/>
      <c r="J406" s="64"/>
      <c r="K406" s="62"/>
      <c r="L406" s="65"/>
      <c r="O406" s="100"/>
      <c r="P406" s="26">
        <f t="shared" si="12"/>
        <v>0</v>
      </c>
    </row>
    <row r="407" spans="4:16" ht="28">
      <c r="D407" s="66" t="s">
        <v>61</v>
      </c>
      <c r="E407" s="67" t="s">
        <v>330</v>
      </c>
      <c r="F407" s="68" t="s">
        <v>63</v>
      </c>
      <c r="G407" s="69"/>
      <c r="H407" s="70">
        <v>138</v>
      </c>
      <c r="I407" s="71"/>
      <c r="J407" s="72"/>
      <c r="K407" s="73">
        <v>250</v>
      </c>
      <c r="L407" s="74">
        <f>H407*K407</f>
        <v>34500</v>
      </c>
      <c r="O407" s="100">
        <v>150</v>
      </c>
      <c r="P407" s="26">
        <f t="shared" si="12"/>
        <v>20700</v>
      </c>
    </row>
    <row r="408" spans="4:16">
      <c r="D408" s="75"/>
      <c r="E408" s="76" t="s">
        <v>143</v>
      </c>
      <c r="F408" s="77" t="s">
        <v>63</v>
      </c>
      <c r="G408" s="78">
        <v>1.05</v>
      </c>
      <c r="H408" s="79">
        <f>G408*H407</f>
        <v>144.9</v>
      </c>
      <c r="I408" s="80">
        <v>411.1</v>
      </c>
      <c r="J408" s="81">
        <f>H408*I408</f>
        <v>59568.390000000007</v>
      </c>
      <c r="K408" s="82"/>
      <c r="L408" s="83"/>
      <c r="O408" s="100"/>
      <c r="P408" s="26">
        <f t="shared" si="12"/>
        <v>0</v>
      </c>
    </row>
    <row r="409" spans="4:16" ht="17" thickBot="1">
      <c r="D409" s="75"/>
      <c r="E409" s="76" t="s">
        <v>118</v>
      </c>
      <c r="F409" s="77" t="s">
        <v>70</v>
      </c>
      <c r="G409" s="78">
        <v>0.2</v>
      </c>
      <c r="H409" s="232">
        <f>ROUND(H407*G409,1.5)</f>
        <v>27.6</v>
      </c>
      <c r="I409" s="80">
        <v>190.67</v>
      </c>
      <c r="J409" s="81">
        <f>H409*I409</f>
        <v>5262.4920000000002</v>
      </c>
      <c r="K409" s="82"/>
      <c r="L409" s="83"/>
      <c r="O409" s="100"/>
      <c r="P409" s="26">
        <f t="shared" si="12"/>
        <v>0</v>
      </c>
    </row>
    <row r="410" spans="4:16" ht="18">
      <c r="D410" s="124" t="s">
        <v>276</v>
      </c>
      <c r="E410" s="125"/>
      <c r="F410" s="125"/>
      <c r="G410" s="125"/>
      <c r="H410" s="125"/>
      <c r="I410" s="126"/>
      <c r="J410" s="127"/>
      <c r="K410" s="128"/>
      <c r="L410" s="129">
        <f>SUM(J406:J409)</f>
        <v>64830.882000000005</v>
      </c>
      <c r="M410" s="25">
        <f>L410*1.2</f>
        <v>77797.058400000009</v>
      </c>
      <c r="O410" s="100"/>
      <c r="P410" s="26">
        <f t="shared" si="12"/>
        <v>0</v>
      </c>
    </row>
    <row r="411" spans="4:16" ht="18">
      <c r="D411" s="130" t="s">
        <v>277</v>
      </c>
      <c r="E411" s="131"/>
      <c r="F411" s="131"/>
      <c r="G411" s="131"/>
      <c r="H411" s="131"/>
      <c r="I411" s="132"/>
      <c r="J411" s="133"/>
      <c r="K411" s="134"/>
      <c r="L411" s="135">
        <f>SUM(L406:L409)</f>
        <v>34500</v>
      </c>
      <c r="M411" s="25">
        <f>L411*1.2</f>
        <v>41400</v>
      </c>
      <c r="O411" s="100"/>
      <c r="P411" s="26">
        <f t="shared" si="12"/>
        <v>0</v>
      </c>
    </row>
    <row r="412" spans="4:16" ht="19" thickBot="1">
      <c r="D412" s="136" t="s">
        <v>278</v>
      </c>
      <c r="E412" s="137"/>
      <c r="F412" s="137"/>
      <c r="G412" s="137"/>
      <c r="H412" s="137"/>
      <c r="I412" s="138"/>
      <c r="J412" s="139"/>
      <c r="K412" s="140"/>
      <c r="L412" s="141">
        <f>L411*0.03</f>
        <v>1035</v>
      </c>
      <c r="M412" s="25">
        <f>L412*1.2</f>
        <v>1242</v>
      </c>
      <c r="O412" s="100"/>
      <c r="P412" s="26">
        <f t="shared" si="12"/>
        <v>0</v>
      </c>
    </row>
    <row r="413" spans="4:16" ht="18">
      <c r="D413" s="142" t="s">
        <v>279</v>
      </c>
      <c r="E413" s="143"/>
      <c r="F413" s="143"/>
      <c r="G413" s="143"/>
      <c r="H413" s="143"/>
      <c r="I413" s="144"/>
      <c r="J413" s="145">
        <f>ROUND(L410+L411+L412,2)</f>
        <v>100365.88</v>
      </c>
      <c r="K413" s="146"/>
      <c r="L413" s="147"/>
      <c r="O413" s="100"/>
      <c r="P413" s="26">
        <f t="shared" si="12"/>
        <v>0</v>
      </c>
    </row>
    <row r="414" spans="4:16" ht="18">
      <c r="D414" s="148" t="s">
        <v>280</v>
      </c>
      <c r="E414" s="149"/>
      <c r="F414" s="149"/>
      <c r="G414" s="149"/>
      <c r="H414" s="149"/>
      <c r="I414" s="150"/>
      <c r="J414" s="151">
        <f>J413*0.2</f>
        <v>20073.176000000003</v>
      </c>
      <c r="K414" s="152"/>
      <c r="L414" s="153"/>
      <c r="O414" s="100"/>
      <c r="P414" s="26">
        <f t="shared" si="12"/>
        <v>0</v>
      </c>
    </row>
    <row r="415" spans="4:16" ht="19" thickBot="1">
      <c r="D415" s="154" t="s">
        <v>281</v>
      </c>
      <c r="E415" s="155"/>
      <c r="F415" s="155"/>
      <c r="G415" s="155"/>
      <c r="H415" s="155"/>
      <c r="I415" s="156"/>
      <c r="J415" s="157"/>
      <c r="K415" s="158"/>
      <c r="L415" s="159">
        <f>J413+J414</f>
        <v>120439.05600000001</v>
      </c>
      <c r="O415" s="100"/>
      <c r="P415" s="26">
        <f t="shared" si="12"/>
        <v>0</v>
      </c>
    </row>
    <row r="416" spans="4:16">
      <c r="O416" s="100"/>
    </row>
    <row r="417" spans="4:16" ht="17" thickBot="1">
      <c r="O417" s="100"/>
    </row>
    <row r="418" spans="4:16">
      <c r="D418" s="43" t="s">
        <v>49</v>
      </c>
      <c r="E418" s="44" t="s">
        <v>50</v>
      </c>
      <c r="F418" s="44" t="s">
        <v>51</v>
      </c>
      <c r="G418" s="45" t="s">
        <v>52</v>
      </c>
      <c r="H418" s="46" t="s">
        <v>53</v>
      </c>
      <c r="I418" s="47" t="s">
        <v>54</v>
      </c>
      <c r="J418" s="48" t="s">
        <v>55</v>
      </c>
      <c r="K418" s="49" t="s">
        <v>56</v>
      </c>
      <c r="L418" s="50" t="s">
        <v>57</v>
      </c>
      <c r="O418" s="100"/>
      <c r="P418" s="233">
        <f>SUM(P21:P417)</f>
        <v>3532177.8</v>
      </c>
    </row>
    <row r="419" spans="4:16" ht="23.25" customHeight="1" thickBot="1">
      <c r="D419" s="51"/>
      <c r="E419" s="226" t="s">
        <v>58</v>
      </c>
      <c r="F419" s="226"/>
      <c r="G419" s="227"/>
      <c r="H419" s="228"/>
      <c r="I419" s="229"/>
      <c r="J419" s="230"/>
      <c r="K419" s="231"/>
      <c r="L419" s="58"/>
      <c r="O419" s="100"/>
    </row>
    <row r="420" spans="4:16" ht="17" thickBot="1">
      <c r="D420" s="59"/>
      <c r="E420" s="60" t="s">
        <v>324</v>
      </c>
      <c r="F420" s="61"/>
      <c r="G420" s="62"/>
      <c r="H420" s="62"/>
      <c r="I420" s="63"/>
      <c r="J420" s="64"/>
      <c r="K420" s="62"/>
      <c r="L420" s="65"/>
      <c r="O420" s="100"/>
    </row>
    <row r="421" spans="4:16" ht="17" thickBot="1">
      <c r="D421" s="59"/>
      <c r="E421" s="60" t="s">
        <v>60</v>
      </c>
      <c r="F421" s="61"/>
      <c r="G421" s="62"/>
      <c r="H421" s="62"/>
      <c r="I421" s="63"/>
      <c r="J421" s="64"/>
      <c r="K421" s="62"/>
      <c r="L421" s="65"/>
      <c r="O421" s="100"/>
    </row>
    <row r="422" spans="4:16" ht="28">
      <c r="D422" s="66" t="s">
        <v>61</v>
      </c>
      <c r="E422" s="67" t="s">
        <v>331</v>
      </c>
      <c r="F422" s="68" t="s">
        <v>63</v>
      </c>
      <c r="G422" s="69"/>
      <c r="H422" s="70">
        <v>22</v>
      </c>
      <c r="I422" s="71"/>
      <c r="J422" s="72"/>
      <c r="K422" s="73">
        <v>250</v>
      </c>
      <c r="L422" s="74">
        <f>H422*K422</f>
        <v>5500</v>
      </c>
      <c r="O422" s="100"/>
      <c r="P422" s="26">
        <f t="shared" ref="P422" si="13">O422*H422</f>
        <v>0</v>
      </c>
    </row>
    <row r="423" spans="4:16">
      <c r="D423" s="75"/>
      <c r="E423" s="76" t="s">
        <v>96</v>
      </c>
      <c r="F423" s="77" t="s">
        <v>63</v>
      </c>
      <c r="G423" s="78">
        <v>1.05</v>
      </c>
      <c r="H423" s="79">
        <f>G423*H422</f>
        <v>23.1</v>
      </c>
      <c r="I423" s="80">
        <v>191</v>
      </c>
      <c r="J423" s="81">
        <f>H423*I423</f>
        <v>4412.1000000000004</v>
      </c>
      <c r="K423" s="82"/>
      <c r="L423" s="83"/>
      <c r="O423" s="100"/>
    </row>
    <row r="424" spans="4:16" ht="17" thickBot="1">
      <c r="D424" s="75"/>
      <c r="E424" s="76" t="s">
        <v>327</v>
      </c>
      <c r="F424" s="77" t="s">
        <v>70</v>
      </c>
      <c r="G424" s="78">
        <v>0.1</v>
      </c>
      <c r="H424" s="79">
        <f>G424*H422</f>
        <v>2.2000000000000002</v>
      </c>
      <c r="I424" s="78">
        <v>280</v>
      </c>
      <c r="J424" s="81">
        <f>H424*I424</f>
        <v>616</v>
      </c>
      <c r="K424" s="82"/>
      <c r="L424" s="83"/>
      <c r="O424" s="100"/>
    </row>
    <row r="425" spans="4:16" ht="18">
      <c r="D425" s="124" t="s">
        <v>276</v>
      </c>
      <c r="E425" s="125"/>
      <c r="F425" s="125"/>
      <c r="G425" s="125"/>
      <c r="H425" s="125"/>
      <c r="I425" s="126"/>
      <c r="J425" s="127"/>
      <c r="K425" s="128"/>
      <c r="L425" s="129">
        <f>SUM(J421:J424)</f>
        <v>5028.1000000000004</v>
      </c>
      <c r="M425" s="25">
        <f>L425*1.2</f>
        <v>6033.72</v>
      </c>
      <c r="O425" s="100"/>
    </row>
    <row r="426" spans="4:16" ht="18">
      <c r="D426" s="130" t="s">
        <v>277</v>
      </c>
      <c r="E426" s="131"/>
      <c r="F426" s="131"/>
      <c r="G426" s="131"/>
      <c r="H426" s="131"/>
      <c r="I426" s="132"/>
      <c r="J426" s="133"/>
      <c r="K426" s="134"/>
      <c r="L426" s="135">
        <f>SUM(L421:L424)</f>
        <v>5500</v>
      </c>
      <c r="M426" s="25">
        <f>L426*1.2</f>
        <v>6600</v>
      </c>
      <c r="O426" s="100"/>
    </row>
    <row r="427" spans="4:16" ht="19" thickBot="1">
      <c r="D427" s="136" t="s">
        <v>278</v>
      </c>
      <c r="E427" s="137"/>
      <c r="F427" s="137"/>
      <c r="G427" s="137"/>
      <c r="H427" s="137"/>
      <c r="I427" s="138"/>
      <c r="J427" s="139"/>
      <c r="K427" s="140"/>
      <c r="L427" s="141">
        <f>L426*0.03</f>
        <v>165</v>
      </c>
      <c r="M427" s="25">
        <f>L427*1.2</f>
        <v>198</v>
      </c>
      <c r="O427" s="100"/>
    </row>
    <row r="428" spans="4:16" ht="18">
      <c r="D428" s="142" t="s">
        <v>279</v>
      </c>
      <c r="E428" s="143"/>
      <c r="F428" s="143"/>
      <c r="G428" s="143"/>
      <c r="H428" s="143"/>
      <c r="I428" s="144"/>
      <c r="J428" s="145">
        <f>ROUND(L425+L426+L427,2)</f>
        <v>10693.1</v>
      </c>
      <c r="K428" s="146"/>
      <c r="L428" s="147"/>
      <c r="O428" s="100"/>
    </row>
    <row r="429" spans="4:16" ht="18">
      <c r="D429" s="148" t="s">
        <v>280</v>
      </c>
      <c r="E429" s="149"/>
      <c r="F429" s="149"/>
      <c r="G429" s="149"/>
      <c r="H429" s="149"/>
      <c r="I429" s="150"/>
      <c r="J429" s="151">
        <f>J428*0.2</f>
        <v>2138.6200000000003</v>
      </c>
      <c r="K429" s="152"/>
      <c r="L429" s="153"/>
      <c r="O429" s="100"/>
    </row>
    <row r="430" spans="4:16" ht="19" thickBot="1">
      <c r="D430" s="154" t="s">
        <v>281</v>
      </c>
      <c r="E430" s="155"/>
      <c r="F430" s="155"/>
      <c r="G430" s="155"/>
      <c r="H430" s="155"/>
      <c r="I430" s="156"/>
      <c r="J430" s="157"/>
      <c r="K430" s="158"/>
      <c r="L430" s="159">
        <f>J428+J429</f>
        <v>12831.720000000001</v>
      </c>
      <c r="O430" s="100"/>
    </row>
    <row r="433" spans="4:16" ht="17" thickBot="1"/>
    <row r="434" spans="4:16">
      <c r="D434" s="43" t="s">
        <v>49</v>
      </c>
      <c r="E434" s="44" t="s">
        <v>50</v>
      </c>
      <c r="F434" s="44" t="s">
        <v>51</v>
      </c>
      <c r="G434" s="45" t="s">
        <v>52</v>
      </c>
      <c r="H434" s="46" t="s">
        <v>53</v>
      </c>
      <c r="I434" s="47" t="s">
        <v>54</v>
      </c>
      <c r="J434" s="48" t="s">
        <v>55</v>
      </c>
      <c r="K434" s="49" t="s">
        <v>56</v>
      </c>
      <c r="L434" s="50" t="s">
        <v>57</v>
      </c>
      <c r="O434" s="100"/>
    </row>
    <row r="435" spans="4:16" ht="17" thickBot="1">
      <c r="D435" s="51"/>
      <c r="E435" s="226" t="s">
        <v>58</v>
      </c>
      <c r="F435" s="226"/>
      <c r="G435" s="227"/>
      <c r="H435" s="228"/>
      <c r="I435" s="229"/>
      <c r="J435" s="230"/>
      <c r="K435" s="231"/>
      <c r="L435" s="58"/>
      <c r="O435" s="100"/>
    </row>
    <row r="436" spans="4:16" ht="17" thickBot="1">
      <c r="D436" s="59"/>
      <c r="E436" s="60" t="s">
        <v>59</v>
      </c>
      <c r="F436" s="61"/>
      <c r="G436" s="62"/>
      <c r="H436" s="62"/>
      <c r="I436" s="63"/>
      <c r="J436" s="64"/>
      <c r="K436" s="62"/>
      <c r="L436" s="65"/>
      <c r="O436" s="100"/>
    </row>
    <row r="437" spans="4:16" ht="17" thickBot="1">
      <c r="D437" s="59"/>
      <c r="E437" s="60" t="s">
        <v>60</v>
      </c>
      <c r="F437" s="61"/>
      <c r="G437" s="62"/>
      <c r="H437" s="62"/>
      <c r="I437" s="63"/>
      <c r="J437" s="64"/>
      <c r="K437" s="62"/>
      <c r="L437" s="65"/>
      <c r="O437" s="100"/>
    </row>
    <row r="438" spans="4:16" ht="18">
      <c r="D438" s="66"/>
      <c r="E438" s="67" t="s">
        <v>332</v>
      </c>
      <c r="F438" s="68" t="s">
        <v>63</v>
      </c>
      <c r="G438" s="69"/>
      <c r="H438" s="70">
        <f>4.71+5.1+3.4</f>
        <v>13.209999999999999</v>
      </c>
      <c r="I438" s="71"/>
      <c r="J438" s="72"/>
      <c r="K438" s="73">
        <v>470</v>
      </c>
      <c r="L438" s="74">
        <f>H438*K438</f>
        <v>6208.7</v>
      </c>
      <c r="O438" s="100"/>
      <c r="P438" s="26">
        <f t="shared" ref="P438:P449" si="14">O438*H438</f>
        <v>0</v>
      </c>
    </row>
    <row r="439" spans="4:16" ht="18">
      <c r="D439" s="66"/>
      <c r="E439" s="67" t="s">
        <v>98</v>
      </c>
      <c r="F439" s="68" t="s">
        <v>63</v>
      </c>
      <c r="G439" s="69"/>
      <c r="H439" s="70">
        <v>13.21</v>
      </c>
      <c r="I439" s="71"/>
      <c r="J439" s="72"/>
      <c r="K439" s="73">
        <v>250</v>
      </c>
      <c r="L439" s="74">
        <f>H439*K439</f>
        <v>3302.5</v>
      </c>
      <c r="O439" s="100"/>
      <c r="P439" s="26">
        <f t="shared" si="14"/>
        <v>0</v>
      </c>
    </row>
    <row r="440" spans="4:16" ht="28">
      <c r="D440" s="75"/>
      <c r="E440" s="76" t="s">
        <v>76</v>
      </c>
      <c r="F440" s="77" t="s">
        <v>68</v>
      </c>
      <c r="G440" s="78">
        <v>12</v>
      </c>
      <c r="H440" s="79">
        <f>G440*H439</f>
        <v>158.52000000000001</v>
      </c>
      <c r="I440" s="80">
        <v>7.87</v>
      </c>
      <c r="J440" s="81">
        <f>H440*I440</f>
        <v>1247.5524</v>
      </c>
      <c r="K440" s="82"/>
      <c r="L440" s="83"/>
      <c r="O440" s="100"/>
      <c r="P440" s="26">
        <f t="shared" si="14"/>
        <v>0</v>
      </c>
    </row>
    <row r="441" spans="4:16" ht="17" thickBot="1">
      <c r="D441" s="75"/>
      <c r="E441" s="76" t="s">
        <v>78</v>
      </c>
      <c r="F441" s="77" t="s">
        <v>63</v>
      </c>
      <c r="G441" s="78">
        <v>1.1499999999999999</v>
      </c>
      <c r="H441" s="79">
        <f>G441*H439</f>
        <v>15.1915</v>
      </c>
      <c r="I441" s="80">
        <v>71.88</v>
      </c>
      <c r="J441" s="81">
        <f>H441*I441</f>
        <v>1091.9650199999999</v>
      </c>
      <c r="K441" s="82"/>
      <c r="L441" s="83"/>
      <c r="O441" s="100"/>
      <c r="P441" s="26">
        <f t="shared" si="14"/>
        <v>0</v>
      </c>
    </row>
    <row r="442" spans="4:16" ht="17" thickBot="1">
      <c r="D442" s="84"/>
      <c r="E442" s="85" t="s">
        <v>79</v>
      </c>
      <c r="F442" s="86"/>
      <c r="G442" s="87"/>
      <c r="H442" s="87"/>
      <c r="I442" s="88"/>
      <c r="J442" s="89"/>
      <c r="K442" s="87"/>
      <c r="L442" s="90"/>
      <c r="O442" s="100"/>
      <c r="P442" s="26">
        <f t="shared" si="14"/>
        <v>0</v>
      </c>
    </row>
    <row r="443" spans="4:16" ht="18">
      <c r="D443" s="66"/>
      <c r="E443" s="67" t="s">
        <v>80</v>
      </c>
      <c r="F443" s="68" t="s">
        <v>63</v>
      </c>
      <c r="G443" s="69"/>
      <c r="H443" s="91">
        <f>13.21</f>
        <v>13.21</v>
      </c>
      <c r="I443" s="71"/>
      <c r="J443" s="72"/>
      <c r="K443" s="73">
        <v>940</v>
      </c>
      <c r="L443" s="74">
        <f>H443*K443</f>
        <v>12417.400000000001</v>
      </c>
      <c r="O443" s="100"/>
      <c r="P443" s="26">
        <f t="shared" si="14"/>
        <v>0</v>
      </c>
    </row>
    <row r="444" spans="4:16">
      <c r="D444" s="75"/>
      <c r="E444" s="76" t="s">
        <v>81</v>
      </c>
      <c r="F444" s="77" t="s">
        <v>68</v>
      </c>
      <c r="G444" s="78">
        <v>0.15</v>
      </c>
      <c r="H444" s="79">
        <f>H443*G444</f>
        <v>1.9815</v>
      </c>
      <c r="I444" s="80">
        <v>48.576000000000001</v>
      </c>
      <c r="J444" s="81">
        <f>H444*I444</f>
        <v>96.253343999999998</v>
      </c>
      <c r="K444" s="82"/>
      <c r="L444" s="83"/>
      <c r="O444" s="100"/>
      <c r="P444" s="26">
        <f t="shared" si="14"/>
        <v>0</v>
      </c>
    </row>
    <row r="445" spans="4:16">
      <c r="D445" s="75"/>
      <c r="E445" s="76" t="s">
        <v>82</v>
      </c>
      <c r="F445" s="77" t="s">
        <v>68</v>
      </c>
      <c r="G445" s="78">
        <v>3.8</v>
      </c>
      <c r="H445" s="79">
        <f>H443*G445</f>
        <v>50.198</v>
      </c>
      <c r="I445" s="80">
        <v>13.93</v>
      </c>
      <c r="J445" s="81">
        <f>H445*I445</f>
        <v>699.25814000000003</v>
      </c>
      <c r="K445" s="82"/>
      <c r="L445" s="83"/>
      <c r="O445" s="100"/>
      <c r="P445" s="26">
        <f t="shared" si="14"/>
        <v>0</v>
      </c>
    </row>
    <row r="446" spans="4:16" ht="17" thickBot="1">
      <c r="D446" s="75"/>
      <c r="E446" s="76" t="s">
        <v>83</v>
      </c>
      <c r="F446" s="77" t="s">
        <v>68</v>
      </c>
      <c r="G446" s="78">
        <v>5.5</v>
      </c>
      <c r="H446" s="79">
        <f>H443*G446</f>
        <v>72.655000000000001</v>
      </c>
      <c r="I446" s="80">
        <v>22.973600000000001</v>
      </c>
      <c r="J446" s="81">
        <f>H446*I446</f>
        <v>1669.1469080000002</v>
      </c>
      <c r="K446" s="82"/>
      <c r="L446" s="83"/>
      <c r="O446" s="100"/>
      <c r="P446" s="26">
        <f t="shared" si="14"/>
        <v>0</v>
      </c>
    </row>
    <row r="447" spans="4:16" ht="18">
      <c r="D447" s="124" t="s">
        <v>276</v>
      </c>
      <c r="E447" s="125"/>
      <c r="F447" s="125"/>
      <c r="G447" s="125"/>
      <c r="H447" s="125"/>
      <c r="I447" s="126"/>
      <c r="J447" s="127"/>
      <c r="K447" s="128"/>
      <c r="L447" s="129">
        <f>SUM(J437:J446)</f>
        <v>4804.1758120000004</v>
      </c>
      <c r="M447" s="25">
        <f>L447*1.2</f>
        <v>5765.0109744000001</v>
      </c>
      <c r="O447" s="100"/>
      <c r="P447" s="26">
        <f t="shared" si="14"/>
        <v>0</v>
      </c>
    </row>
    <row r="448" spans="4:16" ht="18">
      <c r="D448" s="130" t="s">
        <v>277</v>
      </c>
      <c r="E448" s="131"/>
      <c r="F448" s="131"/>
      <c r="G448" s="131"/>
      <c r="H448" s="131"/>
      <c r="I448" s="132"/>
      <c r="J448" s="133"/>
      <c r="K448" s="134"/>
      <c r="L448" s="135">
        <f>SUM(L437:L446)</f>
        <v>21928.600000000002</v>
      </c>
      <c r="M448" s="25">
        <f>L448*1.2</f>
        <v>26314.320000000003</v>
      </c>
      <c r="O448" s="100"/>
      <c r="P448" s="26">
        <f t="shared" si="14"/>
        <v>0</v>
      </c>
    </row>
    <row r="449" spans="4:16" ht="19" thickBot="1">
      <c r="D449" s="136" t="s">
        <v>278</v>
      </c>
      <c r="E449" s="137"/>
      <c r="F449" s="137"/>
      <c r="G449" s="137"/>
      <c r="H449" s="137"/>
      <c r="I449" s="138"/>
      <c r="J449" s="139"/>
      <c r="K449" s="140"/>
      <c r="L449" s="141">
        <f>L448*0.03</f>
        <v>657.85800000000006</v>
      </c>
      <c r="M449" s="25">
        <f>L449*1.2</f>
        <v>789.42960000000005</v>
      </c>
      <c r="O449" s="100"/>
      <c r="P449" s="26">
        <f t="shared" si="14"/>
        <v>0</v>
      </c>
    </row>
    <row r="450" spans="4:16" ht="18">
      <c r="D450" s="142" t="s">
        <v>279</v>
      </c>
      <c r="E450" s="143"/>
      <c r="F450" s="143"/>
      <c r="G450" s="143"/>
      <c r="H450" s="143"/>
      <c r="I450" s="144"/>
      <c r="J450" s="145">
        <f>ROUND(L447+L448+L449,2)</f>
        <v>27390.63</v>
      </c>
      <c r="K450" s="146"/>
      <c r="L450" s="147"/>
      <c r="O450" s="100"/>
    </row>
    <row r="451" spans="4:16" ht="18">
      <c r="D451" s="148" t="s">
        <v>280</v>
      </c>
      <c r="E451" s="149"/>
      <c r="F451" s="149"/>
      <c r="G451" s="149"/>
      <c r="H451" s="149"/>
      <c r="I451" s="150"/>
      <c r="J451" s="151">
        <f>J450*0.2</f>
        <v>5478.1260000000002</v>
      </c>
      <c r="K451" s="152"/>
      <c r="L451" s="153"/>
      <c r="O451" s="100"/>
    </row>
    <row r="452" spans="4:16" ht="19" thickBot="1">
      <c r="D452" s="154" t="s">
        <v>281</v>
      </c>
      <c r="E452" s="155"/>
      <c r="F452" s="155"/>
      <c r="G452" s="155"/>
      <c r="H452" s="155"/>
      <c r="I452" s="156"/>
      <c r="J452" s="157"/>
      <c r="K452" s="158"/>
      <c r="L452" s="159">
        <f>J450+J451</f>
        <v>32868.756000000001</v>
      </c>
      <c r="O452" s="100"/>
    </row>
  </sheetData>
  <mergeCells count="115">
    <mergeCell ref="D450:I450"/>
    <mergeCell ref="J450:L450"/>
    <mergeCell ref="D451:I451"/>
    <mergeCell ref="J451:L451"/>
    <mergeCell ref="D452:I452"/>
    <mergeCell ref="J434:J435"/>
    <mergeCell ref="K434:K435"/>
    <mergeCell ref="L434:L435"/>
    <mergeCell ref="D447:I447"/>
    <mergeCell ref="D448:I448"/>
    <mergeCell ref="D449:I449"/>
    <mergeCell ref="D434:D435"/>
    <mergeCell ref="E434:E435"/>
    <mergeCell ref="F434:F435"/>
    <mergeCell ref="G434:G435"/>
    <mergeCell ref="H434:H435"/>
    <mergeCell ref="I434:I435"/>
    <mergeCell ref="D427:I427"/>
    <mergeCell ref="D428:I428"/>
    <mergeCell ref="J428:L428"/>
    <mergeCell ref="D429:I429"/>
    <mergeCell ref="J429:L429"/>
    <mergeCell ref="D430:I430"/>
    <mergeCell ref="I418:I419"/>
    <mergeCell ref="J418:J419"/>
    <mergeCell ref="K418:K419"/>
    <mergeCell ref="L418:L419"/>
    <mergeCell ref="D425:I425"/>
    <mergeCell ref="D426:I426"/>
    <mergeCell ref="D413:I413"/>
    <mergeCell ref="J413:L413"/>
    <mergeCell ref="D414:I414"/>
    <mergeCell ref="J414:L414"/>
    <mergeCell ref="D415:I415"/>
    <mergeCell ref="D418:D419"/>
    <mergeCell ref="E418:E419"/>
    <mergeCell ref="F418:F419"/>
    <mergeCell ref="G418:G419"/>
    <mergeCell ref="H418:H419"/>
    <mergeCell ref="J403:J404"/>
    <mergeCell ref="K403:K404"/>
    <mergeCell ref="L403:L404"/>
    <mergeCell ref="D410:I410"/>
    <mergeCell ref="D411:I411"/>
    <mergeCell ref="D412:I412"/>
    <mergeCell ref="D403:D404"/>
    <mergeCell ref="E403:E404"/>
    <mergeCell ref="F403:F404"/>
    <mergeCell ref="G403:G404"/>
    <mergeCell ref="H403:H404"/>
    <mergeCell ref="I403:I404"/>
    <mergeCell ref="D397:I397"/>
    <mergeCell ref="D398:I398"/>
    <mergeCell ref="J398:L398"/>
    <mergeCell ref="D399:I399"/>
    <mergeCell ref="J399:L399"/>
    <mergeCell ref="D400:I400"/>
    <mergeCell ref="I388:I389"/>
    <mergeCell ref="J388:J389"/>
    <mergeCell ref="K388:K389"/>
    <mergeCell ref="L388:L389"/>
    <mergeCell ref="D395:I395"/>
    <mergeCell ref="D396:I396"/>
    <mergeCell ref="D363:I363"/>
    <mergeCell ref="J363:L363"/>
    <mergeCell ref="D364:I364"/>
    <mergeCell ref="J364:L364"/>
    <mergeCell ref="D365:I365"/>
    <mergeCell ref="D388:D389"/>
    <mergeCell ref="E388:E389"/>
    <mergeCell ref="F388:F389"/>
    <mergeCell ref="G388:G389"/>
    <mergeCell ref="H388:H389"/>
    <mergeCell ref="J343:J344"/>
    <mergeCell ref="K343:K344"/>
    <mergeCell ref="L343:L344"/>
    <mergeCell ref="D360:I360"/>
    <mergeCell ref="D361:I361"/>
    <mergeCell ref="D362:I362"/>
    <mergeCell ref="D336:I336"/>
    <mergeCell ref="D343:D344"/>
    <mergeCell ref="E343:E344"/>
    <mergeCell ref="F343:F344"/>
    <mergeCell ref="G343:G344"/>
    <mergeCell ref="H343:H344"/>
    <mergeCell ref="I343:I344"/>
    <mergeCell ref="D331:I331"/>
    <mergeCell ref="D332:I332"/>
    <mergeCell ref="D333:I333"/>
    <mergeCell ref="D334:I334"/>
    <mergeCell ref="J334:L334"/>
    <mergeCell ref="D335:I335"/>
    <mergeCell ref="J335:L335"/>
    <mergeCell ref="D16:L16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D10:F10"/>
    <mergeCell ref="D11:L11"/>
    <mergeCell ref="D12:L12"/>
    <mergeCell ref="D13:L13"/>
    <mergeCell ref="D14:L14"/>
    <mergeCell ref="D15:L15"/>
    <mergeCell ref="D7:F7"/>
    <mergeCell ref="I7:K7"/>
    <mergeCell ref="D8:F8"/>
    <mergeCell ref="I8:K8"/>
    <mergeCell ref="D9:F9"/>
    <mergeCell ref="I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Бюджет </vt:lpstr>
      <vt:lpstr>ДЦ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pshenya alex</dc:creator>
  <cp:lastModifiedBy>pshenya alex</cp:lastModifiedBy>
  <dcterms:created xsi:type="dcterms:W3CDTF">2026-10-19T09:42:33Z</dcterms:created>
  <dcterms:modified xsi:type="dcterms:W3CDTF">2026-10-19T12:00:48Z</dcterms:modified>
</cp:coreProperties>
</file>